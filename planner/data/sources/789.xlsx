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She\OneDrive\Desktop\"/>
    </mc:Choice>
  </mc:AlternateContent>
  <xr:revisionPtr revIDLastSave="0" documentId="8_{1A25C4CE-E93A-4B11-981D-BBB1BCC15F4F}" xr6:coauthVersionLast="47" xr6:coauthVersionMax="47" xr10:uidLastSave="{00000000-0000-0000-0000-000000000000}"/>
  <bookViews>
    <workbookView xWindow="2190" yWindow="2175" windowWidth="18000" windowHeight="10395" xr2:uid="{989F620A-ED6F-4EA3-9DEA-B46134E334F0}"/>
  </bookViews>
  <sheets>
    <sheet name="Box Beam L200 V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1" i="1" l="1"/>
  <c r="B41" i="1"/>
  <c r="A38" i="1"/>
  <c r="U37" i="1"/>
  <c r="B37" i="1"/>
  <c r="B27" i="1"/>
  <c r="B17" i="1"/>
  <c r="B11" i="1"/>
  <c r="A10" i="1"/>
  <c r="B9" i="1"/>
  <c r="X8" i="1"/>
  <c r="W8" i="1"/>
  <c r="V8" i="1"/>
  <c r="D8" i="1"/>
  <c r="C8" i="1"/>
  <c r="I4" i="1"/>
  <c r="G4" i="1"/>
  <c r="B4" i="1"/>
  <c r="A39" i="1" l="1"/>
  <c r="U38" i="1"/>
  <c r="B38" i="1"/>
  <c r="B10" i="1"/>
  <c r="A12" i="1"/>
  <c r="J27" i="1"/>
  <c r="G27" i="1"/>
  <c r="D27" i="1"/>
  <c r="T41" i="1"/>
  <c r="T38" i="1"/>
  <c r="R38" i="1"/>
  <c r="P38" i="1"/>
  <c r="N38" i="1"/>
  <c r="M38" i="1"/>
  <c r="I38" i="1"/>
  <c r="G38" i="1"/>
  <c r="E38" i="1"/>
  <c r="C38" i="1"/>
  <c r="E37" i="1"/>
  <c r="R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S38" i="1"/>
  <c r="L38" i="1"/>
  <c r="J38" i="1"/>
  <c r="H38" i="1"/>
  <c r="D38" i="1"/>
  <c r="O37" i="1"/>
  <c r="L37" i="1"/>
  <c r="J37" i="1"/>
  <c r="H37" i="1"/>
  <c r="F37" i="1"/>
  <c r="C37" i="1"/>
  <c r="F17" i="1"/>
  <c r="E17" i="1"/>
  <c r="D17" i="1"/>
  <c r="C17" i="1"/>
  <c r="C10" i="1"/>
  <c r="C9" i="1"/>
  <c r="F27" i="1"/>
  <c r="C27" i="1"/>
  <c r="P41" i="1"/>
  <c r="Q41" i="1"/>
  <c r="Q38" i="1"/>
  <c r="O38" i="1"/>
  <c r="K38" i="1"/>
  <c r="F38" i="1"/>
  <c r="T37" i="1"/>
  <c r="S37" i="1"/>
  <c r="R37" i="1"/>
  <c r="Q37" i="1"/>
  <c r="P37" i="1"/>
  <c r="N37" i="1"/>
  <c r="M37" i="1"/>
  <c r="K37" i="1"/>
  <c r="I37" i="1"/>
  <c r="G37" i="1"/>
  <c r="D37" i="1"/>
  <c r="I27" i="1"/>
  <c r="H27" i="1"/>
  <c r="E27" i="1"/>
  <c r="S41" i="1"/>
  <c r="B39" i="1" l="1"/>
  <c r="U39" i="1"/>
  <c r="A40" i="1"/>
  <c r="B12" i="1"/>
  <c r="C12" i="1" s="1"/>
  <c r="A13" i="1"/>
  <c r="F39" i="1" l="1"/>
  <c r="G39" i="1"/>
  <c r="K39" i="1"/>
  <c r="N39" i="1"/>
  <c r="Q39" i="1"/>
  <c r="S39" i="1"/>
  <c r="C39" i="1"/>
  <c r="H39" i="1"/>
  <c r="J39" i="1"/>
  <c r="M39" i="1"/>
  <c r="P39" i="1"/>
  <c r="T39" i="1"/>
  <c r="E39" i="1"/>
  <c r="I39" i="1"/>
  <c r="L39" i="1"/>
  <c r="O39" i="1"/>
  <c r="R39" i="1"/>
  <c r="D39" i="1"/>
  <c r="B40" i="1"/>
  <c r="U40" i="1"/>
  <c r="B13" i="1"/>
  <c r="C13" i="1" s="1"/>
  <c r="A14" i="1"/>
  <c r="J40" i="1" l="1"/>
  <c r="E40" i="1"/>
  <c r="G40" i="1"/>
  <c r="M40" i="1"/>
  <c r="O40" i="1"/>
  <c r="S40" i="1"/>
  <c r="D40" i="1"/>
  <c r="H40" i="1"/>
  <c r="L40" i="1"/>
  <c r="P40" i="1"/>
  <c r="T40" i="1"/>
  <c r="C40" i="1"/>
  <c r="F40" i="1"/>
  <c r="I40" i="1"/>
  <c r="K40" i="1"/>
  <c r="N40" i="1"/>
  <c r="Q40" i="1"/>
  <c r="R40" i="1"/>
  <c r="B14" i="1"/>
  <c r="A15" i="1"/>
  <c r="C14" i="1" l="1"/>
  <c r="D14" i="1"/>
  <c r="B15" i="1"/>
  <c r="A16" i="1"/>
  <c r="C15" i="1" l="1"/>
  <c r="D15" i="1"/>
  <c r="E15" i="1"/>
  <c r="B16" i="1"/>
  <c r="A18" i="1"/>
  <c r="E16" i="1" l="1"/>
  <c r="F16" i="1"/>
  <c r="D16" i="1"/>
  <c r="C16" i="1"/>
  <c r="B18" i="1"/>
  <c r="A19" i="1"/>
  <c r="E18" i="1" l="1"/>
  <c r="F18" i="1"/>
  <c r="D18" i="1"/>
  <c r="C18" i="1"/>
  <c r="B19" i="1"/>
  <c r="A20" i="1"/>
  <c r="F19" i="1" l="1"/>
  <c r="E19" i="1"/>
  <c r="C19" i="1"/>
  <c r="G19" i="1"/>
  <c r="D19" i="1"/>
  <c r="B20" i="1"/>
  <c r="A21" i="1"/>
  <c r="C20" i="1" l="1"/>
  <c r="E20" i="1"/>
  <c r="H20" i="1"/>
  <c r="D20" i="1"/>
  <c r="F20" i="1"/>
  <c r="G20" i="1"/>
  <c r="B21" i="1"/>
  <c r="A22" i="1"/>
  <c r="D21" i="1" l="1"/>
  <c r="E21" i="1"/>
  <c r="G21" i="1"/>
  <c r="F21" i="1"/>
  <c r="C21" i="1"/>
  <c r="H21" i="1"/>
  <c r="B22" i="1"/>
  <c r="A23" i="1"/>
  <c r="D22" i="1" l="1"/>
  <c r="F22" i="1"/>
  <c r="H22" i="1"/>
  <c r="C22" i="1"/>
  <c r="G22" i="1"/>
  <c r="E22" i="1"/>
  <c r="B23" i="1"/>
  <c r="A24" i="1"/>
  <c r="D23" i="1" l="1"/>
  <c r="F23" i="1"/>
  <c r="G23" i="1"/>
  <c r="E23" i="1"/>
  <c r="I23" i="1"/>
  <c r="C23" i="1"/>
  <c r="H23" i="1"/>
  <c r="B24" i="1"/>
  <c r="A25" i="1"/>
  <c r="F24" i="1" l="1"/>
  <c r="I24" i="1"/>
  <c r="C24" i="1"/>
  <c r="G24" i="1"/>
  <c r="D24" i="1"/>
  <c r="H24" i="1"/>
  <c r="E24" i="1"/>
  <c r="B25" i="1"/>
  <c r="A26" i="1"/>
  <c r="D25" i="1" l="1"/>
  <c r="G25" i="1"/>
  <c r="F25" i="1"/>
  <c r="I25" i="1"/>
  <c r="E25" i="1"/>
  <c r="H25" i="1"/>
  <c r="J25" i="1"/>
  <c r="C25" i="1"/>
  <c r="A28" i="1"/>
  <c r="B26" i="1"/>
  <c r="A29" i="1" l="1"/>
  <c r="B28" i="1"/>
  <c r="E26" i="1"/>
  <c r="J26" i="1"/>
  <c r="D26" i="1"/>
  <c r="F26" i="1"/>
  <c r="I26" i="1"/>
  <c r="H26" i="1"/>
  <c r="G26" i="1"/>
  <c r="C26" i="1"/>
  <c r="B29" i="1" l="1"/>
  <c r="A30" i="1"/>
  <c r="J28" i="1"/>
  <c r="E28" i="1"/>
  <c r="F28" i="1"/>
  <c r="C28" i="1"/>
  <c r="G28" i="1"/>
  <c r="D28" i="1"/>
  <c r="I28" i="1"/>
  <c r="H28" i="1"/>
  <c r="J29" i="1" l="1"/>
  <c r="E29" i="1"/>
  <c r="F29" i="1"/>
  <c r="I29" i="1"/>
  <c r="G29" i="1"/>
  <c r="C29" i="1"/>
  <c r="H29" i="1"/>
  <c r="D29" i="1"/>
  <c r="K29" i="1"/>
  <c r="B30" i="1"/>
  <c r="A32" i="1"/>
  <c r="J30" i="1" l="1"/>
  <c r="K30" i="1"/>
  <c r="F30" i="1"/>
  <c r="D30" i="1"/>
  <c r="E30" i="1"/>
  <c r="G30" i="1"/>
  <c r="H30" i="1"/>
  <c r="C30" i="1"/>
  <c r="I30" i="1"/>
  <c r="U32" i="1"/>
  <c r="A33" i="1"/>
  <c r="B32" i="1"/>
  <c r="B33" i="1" l="1"/>
  <c r="U33" i="1"/>
  <c r="A34" i="1"/>
  <c r="E32" i="1"/>
  <c r="M32" i="1"/>
  <c r="N32" i="1"/>
  <c r="S32" i="1"/>
  <c r="R32" i="1"/>
  <c r="G32" i="1"/>
  <c r="P32" i="1"/>
  <c r="O32" i="1"/>
  <c r="H32" i="1"/>
  <c r="F32" i="1"/>
  <c r="T32" i="1"/>
  <c r="K32" i="1"/>
  <c r="Q32" i="1"/>
  <c r="C32" i="1"/>
  <c r="I32" i="1"/>
  <c r="D32" i="1"/>
  <c r="J32" i="1"/>
  <c r="L32" i="1"/>
  <c r="O33" i="1" l="1"/>
  <c r="D33" i="1"/>
  <c r="R33" i="1"/>
  <c r="J33" i="1"/>
  <c r="S33" i="1"/>
  <c r="E33" i="1"/>
  <c r="K33" i="1"/>
  <c r="L33" i="1"/>
  <c r="C33" i="1"/>
  <c r="P33" i="1"/>
  <c r="F33" i="1"/>
  <c r="T33" i="1"/>
  <c r="G33" i="1"/>
  <c r="M33" i="1"/>
  <c r="H33" i="1"/>
  <c r="Q33" i="1"/>
  <c r="I33" i="1"/>
  <c r="N33" i="1"/>
  <c r="U34" i="1"/>
  <c r="B34" i="1"/>
  <c r="A35" i="1"/>
  <c r="S34" i="1" l="1"/>
  <c r="K34" i="1"/>
  <c r="Q34" i="1"/>
  <c r="L34" i="1"/>
  <c r="T34" i="1"/>
  <c r="I34" i="1"/>
  <c r="O34" i="1"/>
  <c r="C34" i="1"/>
  <c r="H34" i="1"/>
  <c r="P34" i="1"/>
  <c r="F34" i="1"/>
  <c r="R34" i="1"/>
  <c r="J34" i="1"/>
  <c r="M34" i="1"/>
  <c r="E34" i="1"/>
  <c r="N34" i="1"/>
  <c r="D34" i="1"/>
  <c r="G34" i="1"/>
  <c r="A36" i="1"/>
  <c r="B35" i="1"/>
  <c r="U35" i="1"/>
  <c r="B36" i="1" l="1"/>
  <c r="U36" i="1"/>
  <c r="S35" i="1"/>
  <c r="G35" i="1"/>
  <c r="M35" i="1"/>
  <c r="R35" i="1"/>
  <c r="I35" i="1"/>
  <c r="N35" i="1"/>
  <c r="T35" i="1"/>
  <c r="E35" i="1"/>
  <c r="P35" i="1"/>
  <c r="J35" i="1"/>
  <c r="K35" i="1"/>
  <c r="H35" i="1"/>
  <c r="F35" i="1"/>
  <c r="O35" i="1"/>
  <c r="D35" i="1"/>
  <c r="Q35" i="1"/>
  <c r="L35" i="1"/>
  <c r="C35" i="1"/>
  <c r="L36" i="1" l="1"/>
  <c r="J36" i="1"/>
  <c r="P36" i="1"/>
  <c r="T36" i="1"/>
  <c r="N36" i="1"/>
  <c r="F36" i="1"/>
  <c r="O36" i="1"/>
  <c r="G36" i="1"/>
  <c r="R36" i="1"/>
  <c r="E36" i="1"/>
  <c r="Q36" i="1"/>
  <c r="C36" i="1"/>
  <c r="I36" i="1"/>
  <c r="D36" i="1"/>
  <c r="M36" i="1"/>
  <c r="H36" i="1"/>
  <c r="S36" i="1"/>
  <c r="K36" i="1"/>
</calcChain>
</file>

<file path=xl/sharedStrings.xml><?xml version="1.0" encoding="utf-8"?>
<sst xmlns="http://schemas.openxmlformats.org/spreadsheetml/2006/main" count="30" uniqueCount="25">
  <si>
    <t>Box Beam Loading Table</t>
  </si>
  <si>
    <t>Deflection Rate =</t>
  </si>
  <si>
    <r>
      <rPr>
        <sz val="12"/>
        <color indexed="10"/>
        <rFont val="宋体"/>
        <family val="3"/>
        <charset val="134"/>
      </rPr>
      <t>热卷厚度下公差</t>
    </r>
    <r>
      <rPr>
        <sz val="12"/>
        <color indexed="10"/>
        <rFont val="Calibri"/>
        <family val="2"/>
      </rPr>
      <t>-0.05</t>
    </r>
  </si>
  <si>
    <t>2*384*E =</t>
  </si>
  <si>
    <t>Type</t>
  </si>
  <si>
    <t>Tube</t>
  </si>
  <si>
    <t>Box Beam</t>
  </si>
  <si>
    <t>Beam</t>
  </si>
  <si>
    <t>T80*40</t>
  </si>
  <si>
    <t>T100*50</t>
  </si>
  <si>
    <t>B80*50</t>
  </si>
  <si>
    <t>B90*50</t>
  </si>
  <si>
    <t>B100*50</t>
  </si>
  <si>
    <t>B110*50</t>
  </si>
  <si>
    <t>B120*50</t>
  </si>
  <si>
    <t>B130*50</t>
  </si>
  <si>
    <t>B140*50</t>
  </si>
  <si>
    <t>B150*50</t>
  </si>
  <si>
    <t>B155*50</t>
  </si>
  <si>
    <t>B160*50</t>
  </si>
  <si>
    <t>B180*50</t>
  </si>
  <si>
    <t>estimated</t>
  </si>
  <si>
    <t>mm</t>
  </si>
  <si>
    <t>cm4</t>
  </si>
  <si>
    <r>
      <rPr>
        <sz val="10"/>
        <color indexed="10"/>
        <rFont val="宋体"/>
        <family val="3"/>
        <charset val="134"/>
      </rPr>
      <t>超过</t>
    </r>
    <r>
      <rPr>
        <sz val="10"/>
        <color indexed="10"/>
        <rFont val="Calibri"/>
        <family val="2"/>
      </rPr>
      <t xml:space="preserve">3m </t>
    </r>
    <r>
      <rPr>
        <sz val="10"/>
        <color indexed="10"/>
        <rFont val="宋体"/>
        <family val="3"/>
        <charset val="134"/>
      </rPr>
      <t>最大下沉</t>
    </r>
    <r>
      <rPr>
        <sz val="10"/>
        <color indexed="10"/>
        <rFont val="Calibri"/>
        <family val="2"/>
      </rPr>
      <t>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</si>
</sst>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L/&quot;0"/>
    <numFmt numFmtId="177" formatCode="0.0"/>
  </numFmts>
  <fonts count="11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0"/>
      <name val="Calibri"/>
      <family val="2"/>
    </font>
    <font>
      <sz val="9"/>
      <name val="宋体"/>
      <family val="2"/>
      <charset val="134"/>
      <scheme val="minor"/>
    </font>
    <font>
      <sz val="12"/>
      <color indexed="10"/>
      <name val="Calibri"/>
      <family val="2"/>
    </font>
    <font>
      <sz val="12"/>
      <color indexed="10"/>
      <name val="宋体"/>
      <family val="3"/>
      <charset val="134"/>
    </font>
    <font>
      <sz val="12"/>
      <color rgb="FFFF0000"/>
      <name val="Calibri"/>
      <family val="2"/>
    </font>
    <font>
      <b/>
      <sz val="10"/>
      <name val="Calibri"/>
      <family val="2"/>
    </font>
    <font>
      <sz val="10"/>
      <color rgb="FFFF0000"/>
      <name val="Calibri"/>
      <family val="2"/>
    </font>
    <font>
      <sz val="10"/>
      <color indexed="10"/>
      <name val="Calibri"/>
      <family val="2"/>
    </font>
    <font>
      <sz val="10"/>
      <color indexed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5117038483843"/>
        <bgColor indexed="64"/>
      </patternFill>
    </fill>
  </fills>
  <borders count="16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double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double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double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double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double">
        <color indexed="55"/>
      </bottom>
      <diagonal/>
    </border>
    <border>
      <left style="double">
        <color indexed="55"/>
      </left>
      <right style="thin">
        <color indexed="55"/>
      </right>
      <top style="thin">
        <color indexed="55"/>
      </top>
      <bottom style="double">
        <color indexed="55"/>
      </bottom>
      <diagonal/>
    </border>
    <border>
      <left style="thin">
        <color indexed="55"/>
      </left>
      <right style="double">
        <color indexed="55"/>
      </right>
      <top style="thin">
        <color indexed="55"/>
      </top>
      <bottom style="double">
        <color indexed="55"/>
      </bottom>
      <diagonal/>
    </border>
    <border>
      <left/>
      <right style="thin">
        <color indexed="55"/>
      </right>
      <top style="thin">
        <color indexed="55"/>
      </top>
      <bottom style="double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double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7">
    <xf numFmtId="0" fontId="0" fillId="0" borderId="0" xfId="0">
      <alignment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1" applyFont="1"/>
    <xf numFmtId="176" fontId="2" fillId="0" borderId="0" xfId="1" applyNumberFormat="1" applyFont="1" applyAlignment="1">
      <alignment horizontal="left"/>
    </xf>
    <xf numFmtId="0" fontId="4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7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/>
    </xf>
    <xf numFmtId="0" fontId="8" fillId="0" borderId="0" xfId="1" applyFont="1" applyAlignment="1">
      <alignment horizontal="center"/>
    </xf>
    <xf numFmtId="0" fontId="7" fillId="0" borderId="8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177" fontId="2" fillId="0" borderId="9" xfId="1" applyNumberFormat="1" applyFont="1" applyBorder="1" applyAlignment="1">
      <alignment horizontal="center"/>
    </xf>
    <xf numFmtId="177" fontId="2" fillId="0" borderId="10" xfId="1" applyNumberFormat="1" applyFont="1" applyBorder="1" applyAlignment="1">
      <alignment horizontal="center"/>
    </xf>
    <xf numFmtId="177" fontId="2" fillId="2" borderId="9" xfId="1" applyNumberFormat="1" applyFont="1" applyFill="1" applyBorder="1" applyAlignment="1">
      <alignment horizontal="center"/>
    </xf>
    <xf numFmtId="177" fontId="2" fillId="0" borderId="11" xfId="1" applyNumberFormat="1" applyFont="1" applyBorder="1" applyAlignment="1">
      <alignment horizontal="center"/>
    </xf>
    <xf numFmtId="177" fontId="2" fillId="2" borderId="8" xfId="1" applyNumberFormat="1" applyFont="1" applyFill="1" applyBorder="1" applyAlignment="1">
      <alignment horizontal="center"/>
    </xf>
    <xf numFmtId="177" fontId="2" fillId="0" borderId="8" xfId="1" applyNumberFormat="1" applyFont="1" applyBorder="1" applyAlignment="1">
      <alignment horizontal="center"/>
    </xf>
    <xf numFmtId="177" fontId="2" fillId="3" borderId="8" xfId="1" applyNumberFormat="1" applyFont="1" applyFill="1" applyBorder="1" applyAlignment="1">
      <alignment horizontal="center"/>
    </xf>
    <xf numFmtId="177" fontId="2" fillId="0" borderId="1" xfId="1" applyNumberFormat="1" applyFont="1" applyBorder="1" applyAlignment="1">
      <alignment horizontal="center"/>
    </xf>
    <xf numFmtId="0" fontId="7" fillId="0" borderId="12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2" fontId="2" fillId="0" borderId="12" xfId="1" applyNumberFormat="1" applyFont="1" applyBorder="1" applyAlignment="1">
      <alignment horizontal="center"/>
    </xf>
    <xf numFmtId="2" fontId="2" fillId="0" borderId="13" xfId="1" applyNumberFormat="1" applyFont="1" applyBorder="1" applyAlignment="1">
      <alignment horizontal="center"/>
    </xf>
    <xf numFmtId="2" fontId="2" fillId="0" borderId="14" xfId="1" applyNumberFormat="1" applyFont="1" applyBorder="1" applyAlignment="1">
      <alignment horizontal="center"/>
    </xf>
    <xf numFmtId="2" fontId="2" fillId="2" borderId="12" xfId="1" applyNumberFormat="1" applyFont="1" applyFill="1" applyBorder="1" applyAlignment="1">
      <alignment horizontal="center"/>
    </xf>
    <xf numFmtId="2" fontId="2" fillId="3" borderId="12" xfId="1" applyNumberFormat="1" applyFont="1" applyFill="1" applyBorder="1" applyAlignment="1">
      <alignment horizontal="center"/>
    </xf>
    <xf numFmtId="1" fontId="2" fillId="0" borderId="6" xfId="1" applyNumberFormat="1" applyFont="1" applyBorder="1" applyAlignment="1">
      <alignment horizontal="center"/>
    </xf>
    <xf numFmtId="1" fontId="2" fillId="0" borderId="15" xfId="1" applyNumberFormat="1" applyFont="1" applyBorder="1" applyAlignment="1">
      <alignment horizontal="center"/>
    </xf>
    <xf numFmtId="1" fontId="2" fillId="2" borderId="1" xfId="1" applyNumberFormat="1" applyFont="1" applyFill="1" applyBorder="1" applyAlignment="1">
      <alignment horizontal="center"/>
    </xf>
    <xf numFmtId="1" fontId="2" fillId="0" borderId="1" xfId="1" applyNumberFormat="1" applyFont="1" applyBorder="1" applyAlignment="1">
      <alignment horizontal="center"/>
    </xf>
    <xf numFmtId="1" fontId="2" fillId="3" borderId="1" xfId="1" applyNumberFormat="1" applyFont="1" applyFill="1" applyBorder="1" applyAlignment="1">
      <alignment horizontal="center"/>
    </xf>
    <xf numFmtId="0" fontId="9" fillId="0" borderId="0" xfId="1" applyFont="1" applyAlignment="1">
      <alignment horizontal="center"/>
    </xf>
    <xf numFmtId="1" fontId="2" fillId="0" borderId="0" xfId="1" applyNumberFormat="1" applyFont="1" applyAlignment="1">
      <alignment horizontal="center"/>
    </xf>
  </cellXfs>
  <cellStyles count="2">
    <cellStyle name="常规" xfId="0" builtinId="0"/>
    <cellStyle name="常规_NEW Loading Table 080311(新)" xfId="1" xr:uid="{352654B6-AA41-4984-B67C-FD749553F6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85800" cy="205105"/>
    <xdr:pic>
      <xdr:nvPicPr>
        <xdr:cNvPr id="2" name="Picture 2" descr="Boracs-18KB.jpg">
          <a:extLst>
            <a:ext uri="{FF2B5EF4-FFF2-40B4-BE49-F238E27FC236}">
              <a16:creationId xmlns:a16="http://schemas.microsoft.com/office/drawing/2014/main" id="{CE5AC887-CA4A-4862-82D4-D135B6222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685800" cy="2051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368935</xdr:colOff>
      <xdr:row>43</xdr:row>
      <xdr:rowOff>62230</xdr:rowOff>
    </xdr:from>
    <xdr:ext cx="1152525" cy="472440"/>
    <xdr:pic>
      <xdr:nvPicPr>
        <xdr:cNvPr id="3" name="Picture 1">
          <a:extLst>
            <a:ext uri="{FF2B5EF4-FFF2-40B4-BE49-F238E27FC236}">
              <a16:creationId xmlns:a16="http://schemas.microsoft.com/office/drawing/2014/main" id="{B3F8D150-752B-41FF-98DA-328754BCB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17235" y="5948680"/>
          <a:ext cx="1152525" cy="472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LENOVO\Documents\WeChat%20Files\wxid_wkiz1okxkgn121\FileStorage\File\2024-05\Boracs%20Beam%20Loading%200807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am Deflection L200 Outdated"/>
      <sheetName val="Beam Deflection L230"/>
      <sheetName val="Beam Deflection L250"/>
    </sheetNames>
    <sheetDataSet>
      <sheetData sheetId="0" refreshError="1"/>
      <sheetData sheetId="1" refreshError="1"/>
      <sheetData sheetId="2" refreshError="1">
        <row r="7">
          <cell r="I7">
            <v>37.6</v>
          </cell>
          <cell r="J7">
            <v>75.3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3A05A-7EF1-4158-AA1E-D28F22694798}">
  <sheetPr>
    <pageSetUpPr fitToPage="1"/>
  </sheetPr>
  <dimension ref="A2:WWF41"/>
  <sheetViews>
    <sheetView tabSelected="1" topLeftCell="A5" workbookViewId="0">
      <selection activeCell="A26" sqref="A26:XFD26"/>
    </sheetView>
  </sheetViews>
  <sheetFormatPr defaultColWidth="9" defaultRowHeight="12.75" outlineLevelRow="1" outlineLevelCol="1" x14ac:dyDescent="0.2"/>
  <cols>
    <col min="1" max="1" width="9" style="2"/>
    <col min="2" max="2" width="8.125" style="2" hidden="1" customWidth="1" outlineLevel="1"/>
    <col min="3" max="4" width="7" style="2" hidden="1" customWidth="1" outlineLevel="1"/>
    <col min="5" max="5" width="6.875" style="2" customWidth="1" collapsed="1"/>
    <col min="6" max="6" width="6.875" style="2" customWidth="1"/>
    <col min="7" max="7" width="6.75" style="2" customWidth="1"/>
    <col min="8" max="20" width="7" style="2" customWidth="1"/>
    <col min="21" max="21" width="9" style="2" hidden="1" customWidth="1"/>
    <col min="22" max="24" width="9" style="2" customWidth="1" outlineLevel="1"/>
    <col min="25" max="28" width="9" style="2" customWidth="1"/>
    <col min="29" max="257" width="9" style="2"/>
    <col min="258" max="260" width="9" style="2" hidden="1" customWidth="1"/>
    <col min="261" max="262" width="6.875" style="2" customWidth="1"/>
    <col min="263" max="263" width="6.75" style="2" customWidth="1"/>
    <col min="264" max="276" width="7" style="2" customWidth="1"/>
    <col min="277" max="277" width="9" style="2"/>
    <col min="278" max="280" width="9" style="2" hidden="1" customWidth="1"/>
    <col min="281" max="513" width="9" style="2"/>
    <col min="514" max="516" width="9" style="2" hidden="1" customWidth="1"/>
    <col min="517" max="518" width="6.875" style="2" customWidth="1"/>
    <col min="519" max="519" width="6.75" style="2" customWidth="1"/>
    <col min="520" max="532" width="7" style="2" customWidth="1"/>
    <col min="533" max="533" width="9" style="2"/>
    <col min="534" max="536" width="9" style="2" hidden="1" customWidth="1"/>
    <col min="537" max="769" width="9" style="2"/>
    <col min="770" max="772" width="9" style="2" hidden="1" customWidth="1"/>
    <col min="773" max="774" width="6.875" style="2" customWidth="1"/>
    <col min="775" max="775" width="6.75" style="2" customWidth="1"/>
    <col min="776" max="788" width="7" style="2" customWidth="1"/>
    <col min="789" max="789" width="9" style="2"/>
    <col min="790" max="792" width="9" style="2" hidden="1" customWidth="1"/>
    <col min="793" max="1025" width="9" style="2"/>
    <col min="1026" max="1028" width="9" style="2" hidden="1" customWidth="1"/>
    <col min="1029" max="1030" width="6.875" style="2" customWidth="1"/>
    <col min="1031" max="1031" width="6.75" style="2" customWidth="1"/>
    <col min="1032" max="1044" width="7" style="2" customWidth="1"/>
    <col min="1045" max="1045" width="9" style="2"/>
    <col min="1046" max="1048" width="9" style="2" hidden="1" customWidth="1"/>
    <col min="1049" max="1281" width="9" style="2"/>
    <col min="1282" max="1284" width="9" style="2" hidden="1" customWidth="1"/>
    <col min="1285" max="1286" width="6.875" style="2" customWidth="1"/>
    <col min="1287" max="1287" width="6.75" style="2" customWidth="1"/>
    <col min="1288" max="1300" width="7" style="2" customWidth="1"/>
    <col min="1301" max="1301" width="9" style="2"/>
    <col min="1302" max="1304" width="9" style="2" hidden="1" customWidth="1"/>
    <col min="1305" max="1537" width="9" style="2"/>
    <col min="1538" max="1540" width="9" style="2" hidden="1" customWidth="1"/>
    <col min="1541" max="1542" width="6.875" style="2" customWidth="1"/>
    <col min="1543" max="1543" width="6.75" style="2" customWidth="1"/>
    <col min="1544" max="1556" width="7" style="2" customWidth="1"/>
    <col min="1557" max="1557" width="9" style="2"/>
    <col min="1558" max="1560" width="9" style="2" hidden="1" customWidth="1"/>
    <col min="1561" max="1793" width="9" style="2"/>
    <col min="1794" max="1796" width="9" style="2" hidden="1" customWidth="1"/>
    <col min="1797" max="1798" width="6.875" style="2" customWidth="1"/>
    <col min="1799" max="1799" width="6.75" style="2" customWidth="1"/>
    <col min="1800" max="1812" width="7" style="2" customWidth="1"/>
    <col min="1813" max="1813" width="9" style="2"/>
    <col min="1814" max="1816" width="9" style="2" hidden="1" customWidth="1"/>
    <col min="1817" max="2049" width="9" style="2"/>
    <col min="2050" max="2052" width="9" style="2" hidden="1" customWidth="1"/>
    <col min="2053" max="2054" width="6.875" style="2" customWidth="1"/>
    <col min="2055" max="2055" width="6.75" style="2" customWidth="1"/>
    <col min="2056" max="2068" width="7" style="2" customWidth="1"/>
    <col min="2069" max="2069" width="9" style="2"/>
    <col min="2070" max="2072" width="9" style="2" hidden="1" customWidth="1"/>
    <col min="2073" max="2305" width="9" style="2"/>
    <col min="2306" max="2308" width="9" style="2" hidden="1" customWidth="1"/>
    <col min="2309" max="2310" width="6.875" style="2" customWidth="1"/>
    <col min="2311" max="2311" width="6.75" style="2" customWidth="1"/>
    <col min="2312" max="2324" width="7" style="2" customWidth="1"/>
    <col min="2325" max="2325" width="9" style="2"/>
    <col min="2326" max="2328" width="9" style="2" hidden="1" customWidth="1"/>
    <col min="2329" max="2561" width="9" style="2"/>
    <col min="2562" max="2564" width="9" style="2" hidden="1" customWidth="1"/>
    <col min="2565" max="2566" width="6.875" style="2" customWidth="1"/>
    <col min="2567" max="2567" width="6.75" style="2" customWidth="1"/>
    <col min="2568" max="2580" width="7" style="2" customWidth="1"/>
    <col min="2581" max="2581" width="9" style="2"/>
    <col min="2582" max="2584" width="9" style="2" hidden="1" customWidth="1"/>
    <col min="2585" max="2817" width="9" style="2"/>
    <col min="2818" max="2820" width="9" style="2" hidden="1" customWidth="1"/>
    <col min="2821" max="2822" width="6.875" style="2" customWidth="1"/>
    <col min="2823" max="2823" width="6.75" style="2" customWidth="1"/>
    <col min="2824" max="2836" width="7" style="2" customWidth="1"/>
    <col min="2837" max="2837" width="9" style="2"/>
    <col min="2838" max="2840" width="9" style="2" hidden="1" customWidth="1"/>
    <col min="2841" max="3073" width="9" style="2"/>
    <col min="3074" max="3076" width="9" style="2" hidden="1" customWidth="1"/>
    <col min="3077" max="3078" width="6.875" style="2" customWidth="1"/>
    <col min="3079" max="3079" width="6.75" style="2" customWidth="1"/>
    <col min="3080" max="3092" width="7" style="2" customWidth="1"/>
    <col min="3093" max="3093" width="9" style="2"/>
    <col min="3094" max="3096" width="9" style="2" hidden="1" customWidth="1"/>
    <col min="3097" max="3329" width="9" style="2"/>
    <col min="3330" max="3332" width="9" style="2" hidden="1" customWidth="1"/>
    <col min="3333" max="3334" width="6.875" style="2" customWidth="1"/>
    <col min="3335" max="3335" width="6.75" style="2" customWidth="1"/>
    <col min="3336" max="3348" width="7" style="2" customWidth="1"/>
    <col min="3349" max="3349" width="9" style="2"/>
    <col min="3350" max="3352" width="9" style="2" hidden="1" customWidth="1"/>
    <col min="3353" max="3585" width="9" style="2"/>
    <col min="3586" max="3588" width="9" style="2" hidden="1" customWidth="1"/>
    <col min="3589" max="3590" width="6.875" style="2" customWidth="1"/>
    <col min="3591" max="3591" width="6.75" style="2" customWidth="1"/>
    <col min="3592" max="3604" width="7" style="2" customWidth="1"/>
    <col min="3605" max="3605" width="9" style="2"/>
    <col min="3606" max="3608" width="9" style="2" hidden="1" customWidth="1"/>
    <col min="3609" max="3841" width="9" style="2"/>
    <col min="3842" max="3844" width="9" style="2" hidden="1" customWidth="1"/>
    <col min="3845" max="3846" width="6.875" style="2" customWidth="1"/>
    <col min="3847" max="3847" width="6.75" style="2" customWidth="1"/>
    <col min="3848" max="3860" width="7" style="2" customWidth="1"/>
    <col min="3861" max="3861" width="9" style="2"/>
    <col min="3862" max="3864" width="9" style="2" hidden="1" customWidth="1"/>
    <col min="3865" max="4097" width="9" style="2"/>
    <col min="4098" max="4100" width="9" style="2" hidden="1" customWidth="1"/>
    <col min="4101" max="4102" width="6.875" style="2" customWidth="1"/>
    <col min="4103" max="4103" width="6.75" style="2" customWidth="1"/>
    <col min="4104" max="4116" width="7" style="2" customWidth="1"/>
    <col min="4117" max="4117" width="9" style="2"/>
    <col min="4118" max="4120" width="9" style="2" hidden="1" customWidth="1"/>
    <col min="4121" max="4353" width="9" style="2"/>
    <col min="4354" max="4356" width="9" style="2" hidden="1" customWidth="1"/>
    <col min="4357" max="4358" width="6.875" style="2" customWidth="1"/>
    <col min="4359" max="4359" width="6.75" style="2" customWidth="1"/>
    <col min="4360" max="4372" width="7" style="2" customWidth="1"/>
    <col min="4373" max="4373" width="9" style="2"/>
    <col min="4374" max="4376" width="9" style="2" hidden="1" customWidth="1"/>
    <col min="4377" max="4609" width="9" style="2"/>
    <col min="4610" max="4612" width="9" style="2" hidden="1" customWidth="1"/>
    <col min="4613" max="4614" width="6.875" style="2" customWidth="1"/>
    <col min="4615" max="4615" width="6.75" style="2" customWidth="1"/>
    <col min="4616" max="4628" width="7" style="2" customWidth="1"/>
    <col min="4629" max="4629" width="9" style="2"/>
    <col min="4630" max="4632" width="9" style="2" hidden="1" customWidth="1"/>
    <col min="4633" max="4865" width="9" style="2"/>
    <col min="4866" max="4868" width="9" style="2" hidden="1" customWidth="1"/>
    <col min="4869" max="4870" width="6.875" style="2" customWidth="1"/>
    <col min="4871" max="4871" width="6.75" style="2" customWidth="1"/>
    <col min="4872" max="4884" width="7" style="2" customWidth="1"/>
    <col min="4885" max="4885" width="9" style="2"/>
    <col min="4886" max="4888" width="9" style="2" hidden="1" customWidth="1"/>
    <col min="4889" max="5121" width="9" style="2"/>
    <col min="5122" max="5124" width="9" style="2" hidden="1" customWidth="1"/>
    <col min="5125" max="5126" width="6.875" style="2" customWidth="1"/>
    <col min="5127" max="5127" width="6.75" style="2" customWidth="1"/>
    <col min="5128" max="5140" width="7" style="2" customWidth="1"/>
    <col min="5141" max="5141" width="9" style="2"/>
    <col min="5142" max="5144" width="9" style="2" hidden="1" customWidth="1"/>
    <col min="5145" max="5377" width="9" style="2"/>
    <col min="5378" max="5380" width="9" style="2" hidden="1" customWidth="1"/>
    <col min="5381" max="5382" width="6.875" style="2" customWidth="1"/>
    <col min="5383" max="5383" width="6.75" style="2" customWidth="1"/>
    <col min="5384" max="5396" width="7" style="2" customWidth="1"/>
    <col min="5397" max="5397" width="9" style="2"/>
    <col min="5398" max="5400" width="9" style="2" hidden="1" customWidth="1"/>
    <col min="5401" max="5633" width="9" style="2"/>
    <col min="5634" max="5636" width="9" style="2" hidden="1" customWidth="1"/>
    <col min="5637" max="5638" width="6.875" style="2" customWidth="1"/>
    <col min="5639" max="5639" width="6.75" style="2" customWidth="1"/>
    <col min="5640" max="5652" width="7" style="2" customWidth="1"/>
    <col min="5653" max="5653" width="9" style="2"/>
    <col min="5654" max="5656" width="9" style="2" hidden="1" customWidth="1"/>
    <col min="5657" max="5889" width="9" style="2"/>
    <col min="5890" max="5892" width="9" style="2" hidden="1" customWidth="1"/>
    <col min="5893" max="5894" width="6.875" style="2" customWidth="1"/>
    <col min="5895" max="5895" width="6.75" style="2" customWidth="1"/>
    <col min="5896" max="5908" width="7" style="2" customWidth="1"/>
    <col min="5909" max="5909" width="9" style="2"/>
    <col min="5910" max="5912" width="9" style="2" hidden="1" customWidth="1"/>
    <col min="5913" max="6145" width="9" style="2"/>
    <col min="6146" max="6148" width="9" style="2" hidden="1" customWidth="1"/>
    <col min="6149" max="6150" width="6.875" style="2" customWidth="1"/>
    <col min="6151" max="6151" width="6.75" style="2" customWidth="1"/>
    <col min="6152" max="6164" width="7" style="2" customWidth="1"/>
    <col min="6165" max="6165" width="9" style="2"/>
    <col min="6166" max="6168" width="9" style="2" hidden="1" customWidth="1"/>
    <col min="6169" max="6401" width="9" style="2"/>
    <col min="6402" max="6404" width="9" style="2" hidden="1" customWidth="1"/>
    <col min="6405" max="6406" width="6.875" style="2" customWidth="1"/>
    <col min="6407" max="6407" width="6.75" style="2" customWidth="1"/>
    <col min="6408" max="6420" width="7" style="2" customWidth="1"/>
    <col min="6421" max="6421" width="9" style="2"/>
    <col min="6422" max="6424" width="9" style="2" hidden="1" customWidth="1"/>
    <col min="6425" max="6657" width="9" style="2"/>
    <col min="6658" max="6660" width="9" style="2" hidden="1" customWidth="1"/>
    <col min="6661" max="6662" width="6.875" style="2" customWidth="1"/>
    <col min="6663" max="6663" width="6.75" style="2" customWidth="1"/>
    <col min="6664" max="6676" width="7" style="2" customWidth="1"/>
    <col min="6677" max="6677" width="9" style="2"/>
    <col min="6678" max="6680" width="9" style="2" hidden="1" customWidth="1"/>
    <col min="6681" max="6913" width="9" style="2"/>
    <col min="6914" max="6916" width="9" style="2" hidden="1" customWidth="1"/>
    <col min="6917" max="6918" width="6.875" style="2" customWidth="1"/>
    <col min="6919" max="6919" width="6.75" style="2" customWidth="1"/>
    <col min="6920" max="6932" width="7" style="2" customWidth="1"/>
    <col min="6933" max="6933" width="9" style="2"/>
    <col min="6934" max="6936" width="9" style="2" hidden="1" customWidth="1"/>
    <col min="6937" max="7169" width="9" style="2"/>
    <col min="7170" max="7172" width="9" style="2" hidden="1" customWidth="1"/>
    <col min="7173" max="7174" width="6.875" style="2" customWidth="1"/>
    <col min="7175" max="7175" width="6.75" style="2" customWidth="1"/>
    <col min="7176" max="7188" width="7" style="2" customWidth="1"/>
    <col min="7189" max="7189" width="9" style="2"/>
    <col min="7190" max="7192" width="9" style="2" hidden="1" customWidth="1"/>
    <col min="7193" max="7425" width="9" style="2"/>
    <col min="7426" max="7428" width="9" style="2" hidden="1" customWidth="1"/>
    <col min="7429" max="7430" width="6.875" style="2" customWidth="1"/>
    <col min="7431" max="7431" width="6.75" style="2" customWidth="1"/>
    <col min="7432" max="7444" width="7" style="2" customWidth="1"/>
    <col min="7445" max="7445" width="9" style="2"/>
    <col min="7446" max="7448" width="9" style="2" hidden="1" customWidth="1"/>
    <col min="7449" max="7681" width="9" style="2"/>
    <col min="7682" max="7684" width="9" style="2" hidden="1" customWidth="1"/>
    <col min="7685" max="7686" width="6.875" style="2" customWidth="1"/>
    <col min="7687" max="7687" width="6.75" style="2" customWidth="1"/>
    <col min="7688" max="7700" width="7" style="2" customWidth="1"/>
    <col min="7701" max="7701" width="9" style="2"/>
    <col min="7702" max="7704" width="9" style="2" hidden="1" customWidth="1"/>
    <col min="7705" max="7937" width="9" style="2"/>
    <col min="7938" max="7940" width="9" style="2" hidden="1" customWidth="1"/>
    <col min="7941" max="7942" width="6.875" style="2" customWidth="1"/>
    <col min="7943" max="7943" width="6.75" style="2" customWidth="1"/>
    <col min="7944" max="7956" width="7" style="2" customWidth="1"/>
    <col min="7957" max="7957" width="9" style="2"/>
    <col min="7958" max="7960" width="9" style="2" hidden="1" customWidth="1"/>
    <col min="7961" max="8193" width="9" style="2"/>
    <col min="8194" max="8196" width="9" style="2" hidden="1" customWidth="1"/>
    <col min="8197" max="8198" width="6.875" style="2" customWidth="1"/>
    <col min="8199" max="8199" width="6.75" style="2" customWidth="1"/>
    <col min="8200" max="8212" width="7" style="2" customWidth="1"/>
    <col min="8213" max="8213" width="9" style="2"/>
    <col min="8214" max="8216" width="9" style="2" hidden="1" customWidth="1"/>
    <col min="8217" max="8449" width="9" style="2"/>
    <col min="8450" max="8452" width="9" style="2" hidden="1" customWidth="1"/>
    <col min="8453" max="8454" width="6.875" style="2" customWidth="1"/>
    <col min="8455" max="8455" width="6.75" style="2" customWidth="1"/>
    <col min="8456" max="8468" width="7" style="2" customWidth="1"/>
    <col min="8469" max="8469" width="9" style="2"/>
    <col min="8470" max="8472" width="9" style="2" hidden="1" customWidth="1"/>
    <col min="8473" max="8705" width="9" style="2"/>
    <col min="8706" max="8708" width="9" style="2" hidden="1" customWidth="1"/>
    <col min="8709" max="8710" width="6.875" style="2" customWidth="1"/>
    <col min="8711" max="8711" width="6.75" style="2" customWidth="1"/>
    <col min="8712" max="8724" width="7" style="2" customWidth="1"/>
    <col min="8725" max="8725" width="9" style="2"/>
    <col min="8726" max="8728" width="9" style="2" hidden="1" customWidth="1"/>
    <col min="8729" max="8961" width="9" style="2"/>
    <col min="8962" max="8964" width="9" style="2" hidden="1" customWidth="1"/>
    <col min="8965" max="8966" width="6.875" style="2" customWidth="1"/>
    <col min="8967" max="8967" width="6.75" style="2" customWidth="1"/>
    <col min="8968" max="8980" width="7" style="2" customWidth="1"/>
    <col min="8981" max="8981" width="9" style="2"/>
    <col min="8982" max="8984" width="9" style="2" hidden="1" customWidth="1"/>
    <col min="8985" max="9217" width="9" style="2"/>
    <col min="9218" max="9220" width="9" style="2" hidden="1" customWidth="1"/>
    <col min="9221" max="9222" width="6.875" style="2" customWidth="1"/>
    <col min="9223" max="9223" width="6.75" style="2" customWidth="1"/>
    <col min="9224" max="9236" width="7" style="2" customWidth="1"/>
    <col min="9237" max="9237" width="9" style="2"/>
    <col min="9238" max="9240" width="9" style="2" hidden="1" customWidth="1"/>
    <col min="9241" max="9473" width="9" style="2"/>
    <col min="9474" max="9476" width="9" style="2" hidden="1" customWidth="1"/>
    <col min="9477" max="9478" width="6.875" style="2" customWidth="1"/>
    <col min="9479" max="9479" width="6.75" style="2" customWidth="1"/>
    <col min="9480" max="9492" width="7" style="2" customWidth="1"/>
    <col min="9493" max="9493" width="9" style="2"/>
    <col min="9494" max="9496" width="9" style="2" hidden="1" customWidth="1"/>
    <col min="9497" max="9729" width="9" style="2"/>
    <col min="9730" max="9732" width="9" style="2" hidden="1" customWidth="1"/>
    <col min="9733" max="9734" width="6.875" style="2" customWidth="1"/>
    <col min="9735" max="9735" width="6.75" style="2" customWidth="1"/>
    <col min="9736" max="9748" width="7" style="2" customWidth="1"/>
    <col min="9749" max="9749" width="9" style="2"/>
    <col min="9750" max="9752" width="9" style="2" hidden="1" customWidth="1"/>
    <col min="9753" max="9985" width="9" style="2"/>
    <col min="9986" max="9988" width="9" style="2" hidden="1" customWidth="1"/>
    <col min="9989" max="9990" width="6.875" style="2" customWidth="1"/>
    <col min="9991" max="9991" width="6.75" style="2" customWidth="1"/>
    <col min="9992" max="10004" width="7" style="2" customWidth="1"/>
    <col min="10005" max="10005" width="9" style="2"/>
    <col min="10006" max="10008" width="9" style="2" hidden="1" customWidth="1"/>
    <col min="10009" max="10241" width="9" style="2"/>
    <col min="10242" max="10244" width="9" style="2" hidden="1" customWidth="1"/>
    <col min="10245" max="10246" width="6.875" style="2" customWidth="1"/>
    <col min="10247" max="10247" width="6.75" style="2" customWidth="1"/>
    <col min="10248" max="10260" width="7" style="2" customWidth="1"/>
    <col min="10261" max="10261" width="9" style="2"/>
    <col min="10262" max="10264" width="9" style="2" hidden="1" customWidth="1"/>
    <col min="10265" max="10497" width="9" style="2"/>
    <col min="10498" max="10500" width="9" style="2" hidden="1" customWidth="1"/>
    <col min="10501" max="10502" width="6.875" style="2" customWidth="1"/>
    <col min="10503" max="10503" width="6.75" style="2" customWidth="1"/>
    <col min="10504" max="10516" width="7" style="2" customWidth="1"/>
    <col min="10517" max="10517" width="9" style="2"/>
    <col min="10518" max="10520" width="9" style="2" hidden="1" customWidth="1"/>
    <col min="10521" max="10753" width="9" style="2"/>
    <col min="10754" max="10756" width="9" style="2" hidden="1" customWidth="1"/>
    <col min="10757" max="10758" width="6.875" style="2" customWidth="1"/>
    <col min="10759" max="10759" width="6.75" style="2" customWidth="1"/>
    <col min="10760" max="10772" width="7" style="2" customWidth="1"/>
    <col min="10773" max="10773" width="9" style="2"/>
    <col min="10774" max="10776" width="9" style="2" hidden="1" customWidth="1"/>
    <col min="10777" max="11009" width="9" style="2"/>
    <col min="11010" max="11012" width="9" style="2" hidden="1" customWidth="1"/>
    <col min="11013" max="11014" width="6.875" style="2" customWidth="1"/>
    <col min="11015" max="11015" width="6.75" style="2" customWidth="1"/>
    <col min="11016" max="11028" width="7" style="2" customWidth="1"/>
    <col min="11029" max="11029" width="9" style="2"/>
    <col min="11030" max="11032" width="9" style="2" hidden="1" customWidth="1"/>
    <col min="11033" max="11265" width="9" style="2"/>
    <col min="11266" max="11268" width="9" style="2" hidden="1" customWidth="1"/>
    <col min="11269" max="11270" width="6.875" style="2" customWidth="1"/>
    <col min="11271" max="11271" width="6.75" style="2" customWidth="1"/>
    <col min="11272" max="11284" width="7" style="2" customWidth="1"/>
    <col min="11285" max="11285" width="9" style="2"/>
    <col min="11286" max="11288" width="9" style="2" hidden="1" customWidth="1"/>
    <col min="11289" max="11521" width="9" style="2"/>
    <col min="11522" max="11524" width="9" style="2" hidden="1" customWidth="1"/>
    <col min="11525" max="11526" width="6.875" style="2" customWidth="1"/>
    <col min="11527" max="11527" width="6.75" style="2" customWidth="1"/>
    <col min="11528" max="11540" width="7" style="2" customWidth="1"/>
    <col min="11541" max="11541" width="9" style="2"/>
    <col min="11542" max="11544" width="9" style="2" hidden="1" customWidth="1"/>
    <col min="11545" max="11777" width="9" style="2"/>
    <col min="11778" max="11780" width="9" style="2" hidden="1" customWidth="1"/>
    <col min="11781" max="11782" width="6.875" style="2" customWidth="1"/>
    <col min="11783" max="11783" width="6.75" style="2" customWidth="1"/>
    <col min="11784" max="11796" width="7" style="2" customWidth="1"/>
    <col min="11797" max="11797" width="9" style="2"/>
    <col min="11798" max="11800" width="9" style="2" hidden="1" customWidth="1"/>
    <col min="11801" max="12033" width="9" style="2"/>
    <col min="12034" max="12036" width="9" style="2" hidden="1" customWidth="1"/>
    <col min="12037" max="12038" width="6.875" style="2" customWidth="1"/>
    <col min="12039" max="12039" width="6.75" style="2" customWidth="1"/>
    <col min="12040" max="12052" width="7" style="2" customWidth="1"/>
    <col min="12053" max="12053" width="9" style="2"/>
    <col min="12054" max="12056" width="9" style="2" hidden="1" customWidth="1"/>
    <col min="12057" max="12289" width="9" style="2"/>
    <col min="12290" max="12292" width="9" style="2" hidden="1" customWidth="1"/>
    <col min="12293" max="12294" width="6.875" style="2" customWidth="1"/>
    <col min="12295" max="12295" width="6.75" style="2" customWidth="1"/>
    <col min="12296" max="12308" width="7" style="2" customWidth="1"/>
    <col min="12309" max="12309" width="9" style="2"/>
    <col min="12310" max="12312" width="9" style="2" hidden="1" customWidth="1"/>
    <col min="12313" max="12545" width="9" style="2"/>
    <col min="12546" max="12548" width="9" style="2" hidden="1" customWidth="1"/>
    <col min="12549" max="12550" width="6.875" style="2" customWidth="1"/>
    <col min="12551" max="12551" width="6.75" style="2" customWidth="1"/>
    <col min="12552" max="12564" width="7" style="2" customWidth="1"/>
    <col min="12565" max="12565" width="9" style="2"/>
    <col min="12566" max="12568" width="9" style="2" hidden="1" customWidth="1"/>
    <col min="12569" max="12801" width="9" style="2"/>
    <col min="12802" max="12804" width="9" style="2" hidden="1" customWidth="1"/>
    <col min="12805" max="12806" width="6.875" style="2" customWidth="1"/>
    <col min="12807" max="12807" width="6.75" style="2" customWidth="1"/>
    <col min="12808" max="12820" width="7" style="2" customWidth="1"/>
    <col min="12821" max="12821" width="9" style="2"/>
    <col min="12822" max="12824" width="9" style="2" hidden="1" customWidth="1"/>
    <col min="12825" max="13057" width="9" style="2"/>
    <col min="13058" max="13060" width="9" style="2" hidden="1" customWidth="1"/>
    <col min="13061" max="13062" width="6.875" style="2" customWidth="1"/>
    <col min="13063" max="13063" width="6.75" style="2" customWidth="1"/>
    <col min="13064" max="13076" width="7" style="2" customWidth="1"/>
    <col min="13077" max="13077" width="9" style="2"/>
    <col min="13078" max="13080" width="9" style="2" hidden="1" customWidth="1"/>
    <col min="13081" max="13313" width="9" style="2"/>
    <col min="13314" max="13316" width="9" style="2" hidden="1" customWidth="1"/>
    <col min="13317" max="13318" width="6.875" style="2" customWidth="1"/>
    <col min="13319" max="13319" width="6.75" style="2" customWidth="1"/>
    <col min="13320" max="13332" width="7" style="2" customWidth="1"/>
    <col min="13333" max="13333" width="9" style="2"/>
    <col min="13334" max="13336" width="9" style="2" hidden="1" customWidth="1"/>
    <col min="13337" max="13569" width="9" style="2"/>
    <col min="13570" max="13572" width="9" style="2" hidden="1" customWidth="1"/>
    <col min="13573" max="13574" width="6.875" style="2" customWidth="1"/>
    <col min="13575" max="13575" width="6.75" style="2" customWidth="1"/>
    <col min="13576" max="13588" width="7" style="2" customWidth="1"/>
    <col min="13589" max="13589" width="9" style="2"/>
    <col min="13590" max="13592" width="9" style="2" hidden="1" customWidth="1"/>
    <col min="13593" max="13825" width="9" style="2"/>
    <col min="13826" max="13828" width="9" style="2" hidden="1" customWidth="1"/>
    <col min="13829" max="13830" width="6.875" style="2" customWidth="1"/>
    <col min="13831" max="13831" width="6.75" style="2" customWidth="1"/>
    <col min="13832" max="13844" width="7" style="2" customWidth="1"/>
    <col min="13845" max="13845" width="9" style="2"/>
    <col min="13846" max="13848" width="9" style="2" hidden="1" customWidth="1"/>
    <col min="13849" max="14081" width="9" style="2"/>
    <col min="14082" max="14084" width="9" style="2" hidden="1" customWidth="1"/>
    <col min="14085" max="14086" width="6.875" style="2" customWidth="1"/>
    <col min="14087" max="14087" width="6.75" style="2" customWidth="1"/>
    <col min="14088" max="14100" width="7" style="2" customWidth="1"/>
    <col min="14101" max="14101" width="9" style="2"/>
    <col min="14102" max="14104" width="9" style="2" hidden="1" customWidth="1"/>
    <col min="14105" max="14337" width="9" style="2"/>
    <col min="14338" max="14340" width="9" style="2" hidden="1" customWidth="1"/>
    <col min="14341" max="14342" width="6.875" style="2" customWidth="1"/>
    <col min="14343" max="14343" width="6.75" style="2" customWidth="1"/>
    <col min="14344" max="14356" width="7" style="2" customWidth="1"/>
    <col min="14357" max="14357" width="9" style="2"/>
    <col min="14358" max="14360" width="9" style="2" hidden="1" customWidth="1"/>
    <col min="14361" max="14593" width="9" style="2"/>
    <col min="14594" max="14596" width="9" style="2" hidden="1" customWidth="1"/>
    <col min="14597" max="14598" width="6.875" style="2" customWidth="1"/>
    <col min="14599" max="14599" width="6.75" style="2" customWidth="1"/>
    <col min="14600" max="14612" width="7" style="2" customWidth="1"/>
    <col min="14613" max="14613" width="9" style="2"/>
    <col min="14614" max="14616" width="9" style="2" hidden="1" customWidth="1"/>
    <col min="14617" max="14849" width="9" style="2"/>
    <col min="14850" max="14852" width="9" style="2" hidden="1" customWidth="1"/>
    <col min="14853" max="14854" width="6.875" style="2" customWidth="1"/>
    <col min="14855" max="14855" width="6.75" style="2" customWidth="1"/>
    <col min="14856" max="14868" width="7" style="2" customWidth="1"/>
    <col min="14869" max="14869" width="9" style="2"/>
    <col min="14870" max="14872" width="9" style="2" hidden="1" customWidth="1"/>
    <col min="14873" max="15105" width="9" style="2"/>
    <col min="15106" max="15108" width="9" style="2" hidden="1" customWidth="1"/>
    <col min="15109" max="15110" width="6.875" style="2" customWidth="1"/>
    <col min="15111" max="15111" width="6.75" style="2" customWidth="1"/>
    <col min="15112" max="15124" width="7" style="2" customWidth="1"/>
    <col min="15125" max="15125" width="9" style="2"/>
    <col min="15126" max="15128" width="9" style="2" hidden="1" customWidth="1"/>
    <col min="15129" max="15361" width="9" style="2"/>
    <col min="15362" max="15364" width="9" style="2" hidden="1" customWidth="1"/>
    <col min="15365" max="15366" width="6.875" style="2" customWidth="1"/>
    <col min="15367" max="15367" width="6.75" style="2" customWidth="1"/>
    <col min="15368" max="15380" width="7" style="2" customWidth="1"/>
    <col min="15381" max="15381" width="9" style="2"/>
    <col min="15382" max="15384" width="9" style="2" hidden="1" customWidth="1"/>
    <col min="15385" max="15617" width="9" style="2"/>
    <col min="15618" max="15620" width="9" style="2" hidden="1" customWidth="1"/>
    <col min="15621" max="15622" width="6.875" style="2" customWidth="1"/>
    <col min="15623" max="15623" width="6.75" style="2" customWidth="1"/>
    <col min="15624" max="15636" width="7" style="2" customWidth="1"/>
    <col min="15637" max="15637" width="9" style="2"/>
    <col min="15638" max="15640" width="9" style="2" hidden="1" customWidth="1"/>
    <col min="15641" max="15873" width="9" style="2"/>
    <col min="15874" max="15876" width="9" style="2" hidden="1" customWidth="1"/>
    <col min="15877" max="15878" width="6.875" style="2" customWidth="1"/>
    <col min="15879" max="15879" width="6.75" style="2" customWidth="1"/>
    <col min="15880" max="15892" width="7" style="2" customWidth="1"/>
    <col min="15893" max="15893" width="9" style="2"/>
    <col min="15894" max="15896" width="9" style="2" hidden="1" customWidth="1"/>
    <col min="15897" max="16129" width="9" style="2"/>
    <col min="16130" max="16132" width="9" style="2" hidden="1" customWidth="1"/>
    <col min="16133" max="16134" width="6.875" style="2" customWidth="1"/>
    <col min="16135" max="16135" width="6.75" style="2" customWidth="1"/>
    <col min="16136" max="16148" width="7" style="2" customWidth="1"/>
    <col min="16149" max="16149" width="9" style="2"/>
    <col min="16150" max="16152" width="9" style="2" hidden="1" customWidth="1"/>
    <col min="16153" max="16384" width="9" style="2"/>
  </cols>
  <sheetData>
    <row r="2" spans="1:24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4" ht="15.75" x14ac:dyDescent="0.25">
      <c r="A3" s="3" t="s">
        <v>1</v>
      </c>
      <c r="B3" s="3"/>
      <c r="C3" s="4">
        <v>200</v>
      </c>
      <c r="D3" s="3"/>
      <c r="E3" s="3"/>
      <c r="F3" s="5" t="s">
        <v>2</v>
      </c>
      <c r="G3" s="6"/>
      <c r="H3" s="6"/>
      <c r="I3" s="6"/>
      <c r="J3" s="6"/>
      <c r="K3" s="6"/>
      <c r="L3" s="6"/>
      <c r="M3" s="6"/>
    </row>
    <row r="4" spans="1:24" hidden="1" outlineLevel="1" x14ac:dyDescent="0.2">
      <c r="A4" s="7" t="s">
        <v>3</v>
      </c>
      <c r="B4" s="7">
        <f>2*384*2100</f>
        <v>1612800</v>
      </c>
      <c r="G4" s="2">
        <f>G8/102.23</f>
        <v>0.92203854054582801</v>
      </c>
      <c r="I4" s="2">
        <f>I8/156.61</f>
        <v>0.92375965774854718</v>
      </c>
    </row>
    <row r="5" spans="1:24" collapsed="1" x14ac:dyDescent="0.2">
      <c r="A5" s="8" t="s">
        <v>4</v>
      </c>
      <c r="B5" s="9"/>
      <c r="C5" s="10" t="s">
        <v>5</v>
      </c>
      <c r="D5" s="11"/>
      <c r="E5" s="12" t="s">
        <v>6</v>
      </c>
      <c r="F5" s="13"/>
      <c r="G5" s="13"/>
      <c r="H5" s="13"/>
      <c r="I5" s="13"/>
      <c r="J5" s="13"/>
      <c r="K5" s="13"/>
      <c r="L5" s="13"/>
      <c r="M5" s="14"/>
      <c r="N5" s="15"/>
      <c r="O5" s="15"/>
      <c r="P5" s="15"/>
      <c r="Q5" s="15"/>
      <c r="R5" s="15"/>
      <c r="S5" s="15"/>
      <c r="T5" s="15"/>
    </row>
    <row r="6" spans="1:24" x14ac:dyDescent="0.2">
      <c r="A6" s="8" t="s">
        <v>7</v>
      </c>
      <c r="B6" s="9"/>
      <c r="C6" s="16" t="s">
        <v>8</v>
      </c>
      <c r="D6" s="17" t="s">
        <v>9</v>
      </c>
      <c r="E6" s="18" t="s">
        <v>10</v>
      </c>
      <c r="F6" s="19" t="s">
        <v>11</v>
      </c>
      <c r="G6" s="15" t="s">
        <v>12</v>
      </c>
      <c r="H6" s="9" t="s">
        <v>13</v>
      </c>
      <c r="I6" s="15" t="s">
        <v>14</v>
      </c>
      <c r="J6" s="9" t="s">
        <v>15</v>
      </c>
      <c r="K6" s="15" t="s">
        <v>16</v>
      </c>
      <c r="L6" s="20" t="s">
        <v>17</v>
      </c>
      <c r="M6" s="9" t="s">
        <v>18</v>
      </c>
      <c r="N6" s="15" t="s">
        <v>18</v>
      </c>
      <c r="O6" s="9" t="s">
        <v>19</v>
      </c>
      <c r="P6" s="15" t="s">
        <v>19</v>
      </c>
      <c r="Q6" s="9" t="s">
        <v>19</v>
      </c>
      <c r="R6" s="21" t="s">
        <v>20</v>
      </c>
      <c r="S6" s="9" t="s">
        <v>20</v>
      </c>
      <c r="T6" s="21" t="s">
        <v>20</v>
      </c>
      <c r="U6" s="22" t="s">
        <v>21</v>
      </c>
    </row>
    <row r="7" spans="1:24" ht="13.5" thickBot="1" x14ac:dyDescent="0.25">
      <c r="A7" s="23" t="s">
        <v>22</v>
      </c>
      <c r="B7" s="24"/>
      <c r="C7" s="25">
        <v>2</v>
      </c>
      <c r="D7" s="26">
        <v>2</v>
      </c>
      <c r="E7" s="27">
        <v>1.5</v>
      </c>
      <c r="F7" s="28">
        <v>1.5</v>
      </c>
      <c r="G7" s="29">
        <v>1.5</v>
      </c>
      <c r="H7" s="30">
        <v>1.5</v>
      </c>
      <c r="I7" s="29">
        <v>1.5</v>
      </c>
      <c r="J7" s="30">
        <v>1.5</v>
      </c>
      <c r="K7" s="29">
        <v>1.5</v>
      </c>
      <c r="L7" s="31">
        <v>1.5</v>
      </c>
      <c r="M7" s="30">
        <v>1.5</v>
      </c>
      <c r="N7" s="29">
        <v>1.8</v>
      </c>
      <c r="O7" s="30">
        <v>1.5</v>
      </c>
      <c r="P7" s="29">
        <v>1.8</v>
      </c>
      <c r="Q7" s="32">
        <v>2</v>
      </c>
      <c r="R7" s="29">
        <v>1.5</v>
      </c>
      <c r="S7" s="9">
        <v>1.8</v>
      </c>
      <c r="T7" s="29">
        <v>2</v>
      </c>
    </row>
    <row r="8" spans="1:24" ht="13.5" thickTop="1" x14ac:dyDescent="0.2">
      <c r="A8" s="33" t="s">
        <v>23</v>
      </c>
      <c r="B8" s="34"/>
      <c r="C8" s="35">
        <f>'[1]Beam Deflection L250'!I7</f>
        <v>37.6</v>
      </c>
      <c r="D8" s="36">
        <f>'[1]Beam Deflection L250'!J7</f>
        <v>75.3</v>
      </c>
      <c r="E8" s="37">
        <v>55.97</v>
      </c>
      <c r="F8" s="35">
        <v>73.67</v>
      </c>
      <c r="G8" s="38">
        <v>94.26</v>
      </c>
      <c r="H8" s="35">
        <v>117.88</v>
      </c>
      <c r="I8" s="35">
        <v>144.66999999999999</v>
      </c>
      <c r="J8" s="35">
        <v>174.77</v>
      </c>
      <c r="K8" s="35">
        <v>208.35</v>
      </c>
      <c r="L8" s="39">
        <v>247</v>
      </c>
      <c r="M8" s="35">
        <v>265.51</v>
      </c>
      <c r="N8" s="35">
        <v>317.75</v>
      </c>
      <c r="O8" s="35">
        <v>286.45999999999998</v>
      </c>
      <c r="P8" s="35">
        <v>342.87</v>
      </c>
      <c r="Q8" s="35">
        <v>379.97</v>
      </c>
      <c r="R8" s="35">
        <v>380.13</v>
      </c>
      <c r="S8" s="35">
        <v>455.27</v>
      </c>
      <c r="T8" s="35">
        <v>504.7</v>
      </c>
      <c r="V8" s="2">
        <f>O8/K8</f>
        <v>1.3748980081593472</v>
      </c>
      <c r="W8" s="2">
        <f>K8/I8</f>
        <v>1.4401741895348035</v>
      </c>
      <c r="X8" s="2">
        <f>I8/G8</f>
        <v>1.5347973689794183</v>
      </c>
    </row>
    <row r="9" spans="1:24" hidden="1" outlineLevel="1" collapsed="1" x14ac:dyDescent="0.2">
      <c r="A9" s="8">
        <v>1200</v>
      </c>
      <c r="B9" s="9">
        <f t="shared" ref="B9:B30" si="0">A9/10</f>
        <v>120</v>
      </c>
      <c r="C9" s="40">
        <f>$B$4*C$8/$B9/$B9</f>
        <v>4211.2</v>
      </c>
      <c r="D9" s="41"/>
      <c r="E9" s="42"/>
      <c r="F9" s="43"/>
      <c r="G9" s="42"/>
      <c r="H9" s="43"/>
      <c r="I9" s="42"/>
      <c r="J9" s="43"/>
      <c r="K9" s="42"/>
      <c r="L9" s="44"/>
      <c r="M9" s="43"/>
      <c r="N9" s="42"/>
      <c r="O9" s="43"/>
      <c r="P9" s="42"/>
      <c r="Q9" s="43"/>
      <c r="R9" s="42"/>
      <c r="S9" s="43"/>
      <c r="T9" s="42"/>
    </row>
    <row r="10" spans="1:24" hidden="1" outlineLevel="1" x14ac:dyDescent="0.2">
      <c r="A10" s="8">
        <f>A9+100</f>
        <v>1300</v>
      </c>
      <c r="B10" s="9">
        <f t="shared" si="0"/>
        <v>130</v>
      </c>
      <c r="C10" s="40">
        <f>$B$4*C$8/$B10/$B10</f>
        <v>3588.2414201183433</v>
      </c>
      <c r="D10" s="41"/>
      <c r="E10" s="42"/>
      <c r="F10" s="43"/>
      <c r="G10" s="42"/>
      <c r="H10" s="43"/>
      <c r="I10" s="42"/>
      <c r="J10" s="43"/>
      <c r="K10" s="42"/>
      <c r="L10" s="44"/>
      <c r="M10" s="43"/>
      <c r="N10" s="42"/>
      <c r="O10" s="43"/>
      <c r="P10" s="42"/>
      <c r="Q10" s="43"/>
      <c r="R10" s="42"/>
      <c r="S10" s="43"/>
      <c r="T10" s="42"/>
    </row>
    <row r="11" spans="1:24" hidden="1" outlineLevel="1" x14ac:dyDescent="0.2">
      <c r="A11" s="8">
        <v>1350</v>
      </c>
      <c r="B11" s="9">
        <f t="shared" si="0"/>
        <v>135</v>
      </c>
      <c r="C11" s="40"/>
      <c r="D11" s="41"/>
      <c r="E11" s="42"/>
      <c r="F11" s="43"/>
      <c r="G11" s="42"/>
      <c r="H11" s="43"/>
      <c r="I11" s="42"/>
      <c r="J11" s="43"/>
      <c r="K11" s="42"/>
      <c r="L11" s="44"/>
      <c r="M11" s="43"/>
      <c r="N11" s="42"/>
      <c r="O11" s="43"/>
      <c r="P11" s="42"/>
      <c r="Q11" s="43"/>
      <c r="R11" s="42"/>
      <c r="S11" s="43"/>
      <c r="T11" s="42"/>
    </row>
    <row r="12" spans="1:24" hidden="1" outlineLevel="1" x14ac:dyDescent="0.2">
      <c r="A12" s="8">
        <f>A10+100</f>
        <v>1400</v>
      </c>
      <c r="B12" s="9">
        <f t="shared" si="0"/>
        <v>140</v>
      </c>
      <c r="C12" s="40">
        <f t="shared" ref="C12:J30" si="1">$B$4*C$8/$B12/$B12</f>
        <v>3093.9428571428571</v>
      </c>
      <c r="D12" s="41"/>
      <c r="E12" s="42"/>
      <c r="F12" s="43"/>
      <c r="G12" s="42"/>
      <c r="H12" s="43"/>
      <c r="I12" s="42"/>
      <c r="J12" s="43"/>
      <c r="K12" s="42"/>
      <c r="L12" s="44"/>
      <c r="M12" s="43"/>
      <c r="N12" s="42"/>
      <c r="O12" s="43"/>
      <c r="P12" s="42"/>
      <c r="Q12" s="43"/>
      <c r="R12" s="42"/>
      <c r="S12" s="43"/>
      <c r="T12" s="42"/>
    </row>
    <row r="13" spans="1:24" hidden="1" outlineLevel="1" x14ac:dyDescent="0.2">
      <c r="A13" s="8">
        <f>A12+100</f>
        <v>1500</v>
      </c>
      <c r="B13" s="9">
        <f t="shared" si="0"/>
        <v>150</v>
      </c>
      <c r="C13" s="40">
        <f t="shared" si="1"/>
        <v>2695.1680000000001</v>
      </c>
      <c r="D13" s="41"/>
      <c r="E13" s="42"/>
      <c r="F13" s="43"/>
      <c r="G13" s="42"/>
      <c r="H13" s="43"/>
      <c r="I13" s="42"/>
      <c r="J13" s="43"/>
      <c r="K13" s="42"/>
      <c r="L13" s="44"/>
      <c r="M13" s="43"/>
      <c r="N13" s="42"/>
      <c r="O13" s="43"/>
      <c r="P13" s="42"/>
      <c r="Q13" s="43"/>
      <c r="R13" s="42"/>
      <c r="S13" s="43"/>
      <c r="T13" s="42"/>
    </row>
    <row r="14" spans="1:24" hidden="1" outlineLevel="1" x14ac:dyDescent="0.2">
      <c r="A14" s="8">
        <f>A13+100</f>
        <v>1600</v>
      </c>
      <c r="B14" s="9">
        <f t="shared" si="0"/>
        <v>160</v>
      </c>
      <c r="C14" s="40">
        <f t="shared" si="1"/>
        <v>2368.8000000000002</v>
      </c>
      <c r="D14" s="41">
        <f t="shared" si="1"/>
        <v>4743.8999999999996</v>
      </c>
      <c r="E14" s="42"/>
      <c r="F14" s="43"/>
      <c r="G14" s="42"/>
      <c r="H14" s="43"/>
      <c r="I14" s="42"/>
      <c r="J14" s="43"/>
      <c r="K14" s="42"/>
      <c r="L14" s="44"/>
      <c r="M14" s="43"/>
      <c r="N14" s="42"/>
      <c r="O14" s="43"/>
      <c r="P14" s="42"/>
      <c r="Q14" s="43"/>
      <c r="R14" s="42"/>
      <c r="S14" s="43"/>
      <c r="T14" s="42"/>
    </row>
    <row r="15" spans="1:24" collapsed="1" x14ac:dyDescent="0.2">
      <c r="A15" s="8">
        <f>A14+100</f>
        <v>1700</v>
      </c>
      <c r="B15" s="9">
        <f t="shared" si="0"/>
        <v>170</v>
      </c>
      <c r="C15" s="40">
        <f t="shared" si="1"/>
        <v>2098.3141868512112</v>
      </c>
      <c r="D15" s="41">
        <f t="shared" si="1"/>
        <v>4202.2089965397927</v>
      </c>
      <c r="E15" s="42">
        <f t="shared" si="1"/>
        <v>3123.4746020761245</v>
      </c>
      <c r="F15" s="43"/>
      <c r="G15" s="42"/>
      <c r="H15" s="43"/>
      <c r="I15" s="42"/>
      <c r="J15" s="43"/>
      <c r="K15" s="42"/>
      <c r="L15" s="44"/>
      <c r="M15" s="43"/>
      <c r="N15" s="42"/>
      <c r="O15" s="43"/>
      <c r="P15" s="42"/>
      <c r="Q15" s="43"/>
      <c r="R15" s="42"/>
      <c r="S15" s="43"/>
      <c r="T15" s="42"/>
    </row>
    <row r="16" spans="1:24" x14ac:dyDescent="0.2">
      <c r="A16" s="8">
        <f>A15+100</f>
        <v>1800</v>
      </c>
      <c r="B16" s="9">
        <f t="shared" si="0"/>
        <v>180</v>
      </c>
      <c r="C16" s="40">
        <f t="shared" si="1"/>
        <v>1871.6444444444444</v>
      </c>
      <c r="D16" s="41">
        <f t="shared" si="1"/>
        <v>3748.2666666666669</v>
      </c>
      <c r="E16" s="42">
        <f t="shared" si="1"/>
        <v>2786.0622222222223</v>
      </c>
      <c r="F16" s="43">
        <f t="shared" si="1"/>
        <v>3667.1288888888885</v>
      </c>
      <c r="G16" s="42"/>
      <c r="H16" s="43"/>
      <c r="I16" s="42"/>
      <c r="J16" s="43"/>
      <c r="K16" s="42"/>
      <c r="L16" s="44"/>
      <c r="M16" s="43"/>
      <c r="N16" s="42"/>
      <c r="O16" s="43"/>
      <c r="P16" s="42"/>
      <c r="Q16" s="43"/>
      <c r="R16" s="42"/>
      <c r="S16" s="43"/>
      <c r="T16" s="42"/>
    </row>
    <row r="17" spans="1:21" x14ac:dyDescent="0.2">
      <c r="A17" s="8">
        <v>1850</v>
      </c>
      <c r="B17" s="9">
        <f t="shared" si="0"/>
        <v>185</v>
      </c>
      <c r="C17" s="40">
        <f t="shared" si="1"/>
        <v>1771.8416362308255</v>
      </c>
      <c r="D17" s="41">
        <f t="shared" si="1"/>
        <v>3548.3956172388607</v>
      </c>
      <c r="E17" s="42">
        <f t="shared" si="1"/>
        <v>2637.4993718042365</v>
      </c>
      <c r="F17" s="43">
        <f t="shared" si="1"/>
        <v>3471.5843973703431</v>
      </c>
      <c r="G17" s="42"/>
      <c r="H17" s="43"/>
      <c r="I17" s="42"/>
      <c r="J17" s="43"/>
      <c r="K17" s="42"/>
      <c r="L17" s="44"/>
      <c r="M17" s="43"/>
      <c r="N17" s="42"/>
      <c r="O17" s="43"/>
      <c r="P17" s="42"/>
      <c r="Q17" s="43"/>
      <c r="R17" s="42"/>
      <c r="S17" s="43"/>
      <c r="T17" s="42"/>
    </row>
    <row r="18" spans="1:21" x14ac:dyDescent="0.2">
      <c r="A18" s="8">
        <f>A16+100</f>
        <v>1900</v>
      </c>
      <c r="B18" s="9">
        <f t="shared" si="0"/>
        <v>190</v>
      </c>
      <c r="C18" s="40">
        <f t="shared" si="1"/>
        <v>1679.8138504155124</v>
      </c>
      <c r="D18" s="41">
        <f t="shared" si="1"/>
        <v>3364.0952908587255</v>
      </c>
      <c r="E18" s="42">
        <f t="shared" si="1"/>
        <v>2500.5101385041548</v>
      </c>
      <c r="F18" s="43">
        <f t="shared" si="1"/>
        <v>3291.2735734072025</v>
      </c>
      <c r="G18" s="42"/>
      <c r="H18" s="43"/>
      <c r="I18" s="42"/>
      <c r="J18" s="43"/>
      <c r="K18" s="42"/>
      <c r="L18" s="44"/>
      <c r="M18" s="43"/>
      <c r="N18" s="42"/>
      <c r="O18" s="43"/>
      <c r="P18" s="42"/>
      <c r="Q18" s="43"/>
      <c r="R18" s="42"/>
      <c r="S18" s="43"/>
      <c r="T18" s="42"/>
    </row>
    <row r="19" spans="1:21" x14ac:dyDescent="0.2">
      <c r="A19" s="8">
        <f t="shared" ref="A19:A26" si="2">A18+100</f>
        <v>2000</v>
      </c>
      <c r="B19" s="9">
        <f t="shared" si="0"/>
        <v>200</v>
      </c>
      <c r="C19" s="40">
        <f t="shared" si="1"/>
        <v>1516.0320000000002</v>
      </c>
      <c r="D19" s="41">
        <f t="shared" si="1"/>
        <v>3036.0959999999995</v>
      </c>
      <c r="E19" s="42">
        <f t="shared" si="1"/>
        <v>2256.7103999999999</v>
      </c>
      <c r="F19" s="43">
        <f t="shared" si="1"/>
        <v>2970.3744000000002</v>
      </c>
      <c r="G19" s="42">
        <f t="shared" si="1"/>
        <v>3800.5632000000001</v>
      </c>
      <c r="H19" s="43"/>
      <c r="I19" s="42"/>
      <c r="J19" s="43"/>
      <c r="K19" s="42"/>
      <c r="L19" s="44"/>
      <c r="M19" s="43"/>
      <c r="N19" s="42"/>
      <c r="O19" s="43"/>
      <c r="P19" s="42"/>
      <c r="Q19" s="43"/>
      <c r="R19" s="42"/>
      <c r="S19" s="43"/>
      <c r="T19" s="42"/>
    </row>
    <row r="20" spans="1:21" x14ac:dyDescent="0.2">
      <c r="A20" s="8">
        <f t="shared" si="2"/>
        <v>2100</v>
      </c>
      <c r="B20" s="9">
        <f t="shared" si="0"/>
        <v>210</v>
      </c>
      <c r="C20" s="40">
        <f t="shared" si="1"/>
        <v>1375.0857142857142</v>
      </c>
      <c r="D20" s="41">
        <f t="shared" si="1"/>
        <v>2753.8285714285716</v>
      </c>
      <c r="E20" s="42">
        <f t="shared" si="1"/>
        <v>2046.9028571428571</v>
      </c>
      <c r="F20" s="43">
        <f t="shared" si="1"/>
        <v>2694.2171428571428</v>
      </c>
      <c r="G20" s="42">
        <f t="shared" si="1"/>
        <v>3447.2228571428573</v>
      </c>
      <c r="H20" s="43">
        <f t="shared" si="1"/>
        <v>4311.04</v>
      </c>
      <c r="I20" s="42"/>
      <c r="J20" s="43"/>
      <c r="K20" s="42"/>
      <c r="L20" s="44"/>
      <c r="M20" s="43"/>
      <c r="N20" s="42"/>
      <c r="O20" s="43"/>
      <c r="P20" s="42"/>
      <c r="Q20" s="43"/>
      <c r="R20" s="42"/>
      <c r="S20" s="43"/>
      <c r="T20" s="42"/>
    </row>
    <row r="21" spans="1:21" x14ac:dyDescent="0.2">
      <c r="A21" s="8">
        <f t="shared" si="2"/>
        <v>2200</v>
      </c>
      <c r="B21" s="9">
        <f t="shared" si="0"/>
        <v>220</v>
      </c>
      <c r="C21" s="40">
        <f t="shared" si="1"/>
        <v>1252.9190082644629</v>
      </c>
      <c r="D21" s="41">
        <f t="shared" si="1"/>
        <v>2509.1702479338846</v>
      </c>
      <c r="E21" s="42">
        <f t="shared" si="1"/>
        <v>1865.0499173553719</v>
      </c>
      <c r="F21" s="43">
        <f t="shared" si="1"/>
        <v>2454.8548760330582</v>
      </c>
      <c r="G21" s="42">
        <f t="shared" si="1"/>
        <v>3140.96132231405</v>
      </c>
      <c r="H21" s="43">
        <f t="shared" si="1"/>
        <v>3928.0343801652889</v>
      </c>
      <c r="I21" s="42"/>
      <c r="J21" s="43"/>
      <c r="K21" s="42"/>
      <c r="L21" s="44"/>
      <c r="M21" s="43"/>
      <c r="N21" s="42"/>
      <c r="O21" s="43"/>
      <c r="P21" s="42"/>
      <c r="Q21" s="43"/>
      <c r="R21" s="42"/>
      <c r="S21" s="43"/>
      <c r="T21" s="42"/>
    </row>
    <row r="22" spans="1:21" x14ac:dyDescent="0.2">
      <c r="A22" s="8">
        <f t="shared" si="2"/>
        <v>2300</v>
      </c>
      <c r="B22" s="9">
        <f t="shared" si="0"/>
        <v>230</v>
      </c>
      <c r="C22" s="40">
        <f t="shared" si="1"/>
        <v>1146.3379962192816</v>
      </c>
      <c r="D22" s="41">
        <f t="shared" si="1"/>
        <v>2295.7247637051041</v>
      </c>
      <c r="E22" s="42">
        <f t="shared" si="1"/>
        <v>1706.3972778827977</v>
      </c>
      <c r="F22" s="43">
        <f t="shared" si="1"/>
        <v>2246.0297920604917</v>
      </c>
      <c r="G22" s="42">
        <f t="shared" si="1"/>
        <v>2873.77179584121</v>
      </c>
      <c r="H22" s="43">
        <f t="shared" si="1"/>
        <v>3593.8915689981095</v>
      </c>
      <c r="I22" s="42"/>
      <c r="J22" s="43"/>
      <c r="K22" s="42"/>
      <c r="L22" s="44"/>
      <c r="M22" s="43"/>
      <c r="N22" s="42"/>
      <c r="O22" s="43"/>
      <c r="P22" s="42"/>
      <c r="Q22" s="43"/>
      <c r="R22" s="42"/>
      <c r="S22" s="43"/>
      <c r="T22" s="42"/>
    </row>
    <row r="23" spans="1:21" x14ac:dyDescent="0.2">
      <c r="A23" s="8">
        <f t="shared" si="2"/>
        <v>2400</v>
      </c>
      <c r="B23" s="9">
        <f t="shared" si="0"/>
        <v>240</v>
      </c>
      <c r="C23" s="40">
        <f t="shared" si="1"/>
        <v>1052.8</v>
      </c>
      <c r="D23" s="41">
        <f t="shared" si="1"/>
        <v>2108.4</v>
      </c>
      <c r="E23" s="42">
        <f t="shared" si="1"/>
        <v>1567.16</v>
      </c>
      <c r="F23" s="43">
        <f t="shared" si="1"/>
        <v>2062.7600000000002</v>
      </c>
      <c r="G23" s="42">
        <f t="shared" si="1"/>
        <v>2639.2799999999997</v>
      </c>
      <c r="H23" s="43">
        <f t="shared" si="1"/>
        <v>3300.64</v>
      </c>
      <c r="I23" s="42">
        <f t="shared" si="1"/>
        <v>4050.7599999999998</v>
      </c>
      <c r="J23" s="43"/>
      <c r="K23" s="42"/>
      <c r="L23" s="44"/>
      <c r="M23" s="43"/>
      <c r="N23" s="42"/>
      <c r="O23" s="43"/>
      <c r="P23" s="42"/>
      <c r="Q23" s="43"/>
      <c r="R23" s="42"/>
      <c r="S23" s="43"/>
      <c r="T23" s="42"/>
    </row>
    <row r="24" spans="1:21" x14ac:dyDescent="0.2">
      <c r="A24" s="8">
        <f t="shared" si="2"/>
        <v>2500</v>
      </c>
      <c r="B24" s="9">
        <f t="shared" si="0"/>
        <v>250</v>
      </c>
      <c r="C24" s="40">
        <f t="shared" si="1"/>
        <v>970.26048000000003</v>
      </c>
      <c r="D24" s="41">
        <f t="shared" si="1"/>
        <v>1943.1014399999999</v>
      </c>
      <c r="E24" s="42">
        <f t="shared" si="1"/>
        <v>1444.294656</v>
      </c>
      <c r="F24" s="43">
        <f t="shared" si="1"/>
        <v>1901.039616</v>
      </c>
      <c r="G24" s="42">
        <f t="shared" si="1"/>
        <v>2432.3604479999999</v>
      </c>
      <c r="H24" s="43">
        <f t="shared" si="1"/>
        <v>3041.8698239999999</v>
      </c>
      <c r="I24" s="42">
        <f t="shared" si="1"/>
        <v>3733.1804159999997</v>
      </c>
      <c r="J24" s="43"/>
      <c r="K24" s="42"/>
      <c r="L24" s="44"/>
      <c r="M24" s="43"/>
      <c r="N24" s="42"/>
      <c r="O24" s="43"/>
      <c r="P24" s="42"/>
      <c r="Q24" s="43"/>
      <c r="R24" s="42"/>
      <c r="S24" s="43"/>
      <c r="T24" s="42"/>
    </row>
    <row r="25" spans="1:21" x14ac:dyDescent="0.2">
      <c r="A25" s="8">
        <f t="shared" si="2"/>
        <v>2600</v>
      </c>
      <c r="B25" s="9">
        <f t="shared" si="0"/>
        <v>260</v>
      </c>
      <c r="C25" s="40">
        <f t="shared" si="1"/>
        <v>897.06035502958582</v>
      </c>
      <c r="D25" s="41">
        <f t="shared" si="1"/>
        <v>1796.5065088757397</v>
      </c>
      <c r="E25" s="42">
        <f t="shared" si="1"/>
        <v>1335.3315976331362</v>
      </c>
      <c r="F25" s="43">
        <f t="shared" si="1"/>
        <v>1757.6179881656803</v>
      </c>
      <c r="G25" s="42">
        <f t="shared" si="1"/>
        <v>2248.8539644970415</v>
      </c>
      <c r="H25" s="43">
        <f t="shared" si="1"/>
        <v>2812.3796449704141</v>
      </c>
      <c r="I25" s="42">
        <f t="shared" si="1"/>
        <v>3451.5351479289939</v>
      </c>
      <c r="J25" s="43">
        <f t="shared" si="1"/>
        <v>4169.6605917159759</v>
      </c>
      <c r="K25" s="42"/>
      <c r="L25" s="44"/>
      <c r="M25" s="43"/>
      <c r="N25" s="42"/>
      <c r="O25" s="43"/>
      <c r="P25" s="42"/>
      <c r="Q25" s="43"/>
      <c r="R25" s="42"/>
      <c r="S25" s="43"/>
      <c r="T25" s="42"/>
    </row>
    <row r="26" spans="1:21" x14ac:dyDescent="0.2">
      <c r="A26" s="8">
        <f t="shared" si="2"/>
        <v>2700</v>
      </c>
      <c r="B26" s="9">
        <f t="shared" si="0"/>
        <v>270</v>
      </c>
      <c r="C26" s="40">
        <f t="shared" si="1"/>
        <v>831.84197530864196</v>
      </c>
      <c r="D26" s="41">
        <f t="shared" si="1"/>
        <v>1665.8962962962962</v>
      </c>
      <c r="E26" s="42">
        <f t="shared" si="1"/>
        <v>1238.2498765432099</v>
      </c>
      <c r="F26" s="43">
        <f t="shared" si="1"/>
        <v>1629.8350617283952</v>
      </c>
      <c r="G26" s="42">
        <f t="shared" si="1"/>
        <v>2085.3570370370371</v>
      </c>
      <c r="H26" s="43">
        <f t="shared" si="1"/>
        <v>2607.9130864197532</v>
      </c>
      <c r="I26" s="42">
        <f t="shared" si="1"/>
        <v>3200.6004938271599</v>
      </c>
      <c r="J26" s="43">
        <f t="shared" si="1"/>
        <v>3866.5165432098765</v>
      </c>
      <c r="K26" s="42"/>
      <c r="L26" s="44"/>
      <c r="M26" s="43"/>
      <c r="N26" s="42"/>
      <c r="O26" s="43"/>
      <c r="P26" s="42"/>
      <c r="Q26" s="43"/>
      <c r="R26" s="42"/>
      <c r="S26" s="43"/>
      <c r="T26" s="42"/>
    </row>
    <row r="27" spans="1:21" x14ac:dyDescent="0.2">
      <c r="A27" s="8">
        <v>2750</v>
      </c>
      <c r="B27" s="9">
        <f t="shared" si="0"/>
        <v>275</v>
      </c>
      <c r="C27" s="40">
        <f t="shared" si="1"/>
        <v>801.86816528925624</v>
      </c>
      <c r="D27" s="41">
        <f t="shared" si="1"/>
        <v>1605.8689586776859</v>
      </c>
      <c r="E27" s="42">
        <f t="shared" si="1"/>
        <v>1193.631947107438</v>
      </c>
      <c r="F27" s="43">
        <f t="shared" si="1"/>
        <v>1571.1071206611571</v>
      </c>
      <c r="G27" s="42">
        <f t="shared" si="1"/>
        <v>2010.2152462809918</v>
      </c>
      <c r="H27" s="43">
        <f t="shared" si="1"/>
        <v>2513.942003305785</v>
      </c>
      <c r="I27" s="42">
        <f t="shared" si="1"/>
        <v>3085.2730710743799</v>
      </c>
      <c r="J27" s="43">
        <f t="shared" si="1"/>
        <v>3727.1941289256201</v>
      </c>
      <c r="K27" s="42"/>
      <c r="L27" s="44"/>
      <c r="M27" s="43"/>
      <c r="N27" s="42"/>
      <c r="O27" s="43"/>
      <c r="P27" s="42"/>
      <c r="Q27" s="43"/>
      <c r="R27" s="42"/>
      <c r="S27" s="43"/>
      <c r="T27" s="42"/>
    </row>
    <row r="28" spans="1:21" x14ac:dyDescent="0.2">
      <c r="A28" s="8">
        <f>A26+100</f>
        <v>2800</v>
      </c>
      <c r="B28" s="9">
        <f t="shared" si="0"/>
        <v>280</v>
      </c>
      <c r="C28" s="40">
        <f t="shared" si="1"/>
        <v>773.48571428571427</v>
      </c>
      <c r="D28" s="41">
        <f t="shared" si="1"/>
        <v>1549.0285714285715</v>
      </c>
      <c r="E28" s="42">
        <f t="shared" si="1"/>
        <v>1151.3828571428571</v>
      </c>
      <c r="F28" s="43">
        <f t="shared" si="1"/>
        <v>1515.497142857143</v>
      </c>
      <c r="G28" s="42">
        <f t="shared" si="1"/>
        <v>1939.062857142857</v>
      </c>
      <c r="H28" s="43">
        <f t="shared" si="1"/>
        <v>2424.96</v>
      </c>
      <c r="I28" s="42">
        <f t="shared" si="1"/>
        <v>2976.068571428571</v>
      </c>
      <c r="J28" s="43">
        <f t="shared" si="1"/>
        <v>3595.2685714285712</v>
      </c>
      <c r="K28" s="42"/>
      <c r="L28" s="44"/>
      <c r="M28" s="43"/>
      <c r="N28" s="42"/>
      <c r="O28" s="43"/>
      <c r="P28" s="42"/>
      <c r="Q28" s="43"/>
      <c r="R28" s="42"/>
      <c r="S28" s="43"/>
      <c r="T28" s="42"/>
    </row>
    <row r="29" spans="1:21" x14ac:dyDescent="0.2">
      <c r="A29" s="8">
        <f>A28+100</f>
        <v>2900</v>
      </c>
      <c r="B29" s="9">
        <f t="shared" si="0"/>
        <v>290</v>
      </c>
      <c r="C29" s="40">
        <f t="shared" si="1"/>
        <v>721.06159334126039</v>
      </c>
      <c r="D29" s="41">
        <f t="shared" si="1"/>
        <v>1444.0409036860879</v>
      </c>
      <c r="E29" s="42">
        <f t="shared" si="1"/>
        <v>1073.3462068965518</v>
      </c>
      <c r="F29" s="43">
        <f t="shared" si="1"/>
        <v>1412.7821165279429</v>
      </c>
      <c r="G29" s="42">
        <f t="shared" si="1"/>
        <v>1807.6400475624257</v>
      </c>
      <c r="H29" s="43">
        <f t="shared" si="1"/>
        <v>2260.6048038049944</v>
      </c>
      <c r="I29" s="42">
        <f t="shared" si="1"/>
        <v>2774.3611890606417</v>
      </c>
      <c r="J29" s="43">
        <f t="shared" si="1"/>
        <v>3351.5940071343639</v>
      </c>
      <c r="K29" s="42">
        <f>$B$4*K$8/$B29/$B29</f>
        <v>3995.5633769322235</v>
      </c>
      <c r="L29" s="44"/>
      <c r="M29" s="43"/>
      <c r="N29" s="42"/>
      <c r="O29" s="43"/>
      <c r="P29" s="42"/>
      <c r="Q29" s="43"/>
      <c r="R29" s="42"/>
      <c r="S29" s="43"/>
      <c r="T29" s="42"/>
    </row>
    <row r="30" spans="1:21" x14ac:dyDescent="0.2">
      <c r="A30" s="8">
        <f>A29+100</f>
        <v>3000</v>
      </c>
      <c r="B30" s="9">
        <f t="shared" si="0"/>
        <v>300</v>
      </c>
      <c r="C30" s="40">
        <f t="shared" si="1"/>
        <v>673.79200000000003</v>
      </c>
      <c r="D30" s="41">
        <f t="shared" si="1"/>
        <v>1349.376</v>
      </c>
      <c r="E30" s="42">
        <f t="shared" si="1"/>
        <v>1002.9823999999999</v>
      </c>
      <c r="F30" s="43">
        <f t="shared" si="1"/>
        <v>1320.1663999999998</v>
      </c>
      <c r="G30" s="42">
        <f t="shared" si="1"/>
        <v>1689.1392000000001</v>
      </c>
      <c r="H30" s="43">
        <f t="shared" si="1"/>
        <v>2112.4096</v>
      </c>
      <c r="I30" s="42">
        <f t="shared" si="1"/>
        <v>2592.4863999999998</v>
      </c>
      <c r="J30" s="43">
        <f t="shared" si="1"/>
        <v>3131.8784000000001</v>
      </c>
      <c r="K30" s="42">
        <f>$B$4*K$8/$B30/$B30</f>
        <v>3733.6320000000005</v>
      </c>
      <c r="L30" s="44"/>
      <c r="M30" s="43"/>
      <c r="N30" s="42"/>
      <c r="O30" s="43"/>
      <c r="P30" s="42"/>
      <c r="Q30" s="43"/>
      <c r="R30" s="42"/>
      <c r="S30" s="43"/>
      <c r="T30" s="42"/>
    </row>
    <row r="31" spans="1:21" x14ac:dyDescent="0.2">
      <c r="A31" s="8"/>
      <c r="B31" s="9"/>
      <c r="C31" s="40"/>
      <c r="D31" s="41"/>
      <c r="E31" s="43"/>
      <c r="F31" s="43"/>
      <c r="G31" s="43"/>
      <c r="H31" s="43"/>
      <c r="I31" s="43"/>
      <c r="J31" s="43"/>
      <c r="K31" s="43"/>
      <c r="L31" s="44"/>
      <c r="M31" s="43"/>
      <c r="N31" s="43"/>
      <c r="O31" s="43"/>
      <c r="P31" s="43"/>
      <c r="Q31" s="43"/>
      <c r="R31" s="43"/>
      <c r="S31" s="43"/>
      <c r="T31" s="43"/>
      <c r="U31" s="45" t="s">
        <v>24</v>
      </c>
    </row>
    <row r="32" spans="1:21" x14ac:dyDescent="0.2">
      <c r="A32" s="8">
        <f>A30+100</f>
        <v>3100</v>
      </c>
      <c r="B32" s="9">
        <f t="shared" ref="B32:B41" si="3">A32/10</f>
        <v>310</v>
      </c>
      <c r="C32" s="40">
        <f t="shared" ref="C32:T32" si="4">$B$4*C$8/$B32/$B32*200/$U$32</f>
        <v>610.66711422912965</v>
      </c>
      <c r="D32" s="40">
        <f t="shared" si="4"/>
        <v>1222.9583431237622</v>
      </c>
      <c r="E32" s="42">
        <f t="shared" si="4"/>
        <v>909.01697828203157</v>
      </c>
      <c r="F32" s="40">
        <f t="shared" si="4"/>
        <v>1196.4852740760632</v>
      </c>
      <c r="G32" s="42">
        <f t="shared" si="4"/>
        <v>1530.8904837031316</v>
      </c>
      <c r="H32" s="40">
        <f t="shared" si="4"/>
        <v>1914.5063676949412</v>
      </c>
      <c r="I32" s="42">
        <f t="shared" si="4"/>
        <v>2349.6066865831958</v>
      </c>
      <c r="J32" s="40">
        <f t="shared" si="4"/>
        <v>2838.4652008996009</v>
      </c>
      <c r="K32" s="42">
        <f t="shared" si="4"/>
        <v>3383.8429055755096</v>
      </c>
      <c r="L32" s="44">
        <f t="shared" si="4"/>
        <v>4011.5632237924201</v>
      </c>
      <c r="M32" s="40">
        <f t="shared" si="4"/>
        <v>4312.1868483770268</v>
      </c>
      <c r="N32" s="42">
        <f t="shared" si="4"/>
        <v>5160.6243496357965</v>
      </c>
      <c r="O32" s="40">
        <f t="shared" si="4"/>
        <v>4652.438870799906</v>
      </c>
      <c r="P32" s="42">
        <f t="shared" si="4"/>
        <v>5568.6019536101512</v>
      </c>
      <c r="Q32" s="40">
        <f t="shared" si="4"/>
        <v>6171.1484945117654</v>
      </c>
      <c r="R32" s="42">
        <f t="shared" si="4"/>
        <v>6173.7470779765708</v>
      </c>
      <c r="S32" s="40">
        <f t="shared" si="4"/>
        <v>7394.1068376355279</v>
      </c>
      <c r="T32" s="42">
        <f t="shared" si="4"/>
        <v>8196.9067167936628</v>
      </c>
      <c r="U32" s="46">
        <f t="shared" ref="U32:U41" si="5">A32/15</f>
        <v>206.66666666666666</v>
      </c>
    </row>
    <row r="33" spans="1:21" x14ac:dyDescent="0.2">
      <c r="A33" s="8">
        <f>A32+100</f>
        <v>3200</v>
      </c>
      <c r="B33" s="9">
        <f t="shared" si="3"/>
        <v>320</v>
      </c>
      <c r="C33" s="40">
        <f t="shared" ref="C33:T33" si="6">$B$4*C$8/$B33/$B33*200/$U$33</f>
        <v>555.1875</v>
      </c>
      <c r="D33" s="40">
        <f t="shared" si="6"/>
        <v>1111.8515624999998</v>
      </c>
      <c r="E33" s="42">
        <f t="shared" si="6"/>
        <v>826.4320312499998</v>
      </c>
      <c r="F33" s="40">
        <f t="shared" si="6"/>
        <v>1087.7835937499999</v>
      </c>
      <c r="G33" s="42">
        <f t="shared" si="6"/>
        <v>1391.8078125</v>
      </c>
      <c r="H33" s="40">
        <f t="shared" si="6"/>
        <v>1740.5718749999999</v>
      </c>
      <c r="I33" s="42">
        <f t="shared" si="6"/>
        <v>2136.1429687499995</v>
      </c>
      <c r="J33" s="40">
        <f t="shared" si="6"/>
        <v>2580.5882812499999</v>
      </c>
      <c r="K33" s="42">
        <f t="shared" si="6"/>
        <v>3076.41796875</v>
      </c>
      <c r="L33" s="44">
        <f t="shared" si="6"/>
        <v>3647.109375</v>
      </c>
      <c r="M33" s="40">
        <f t="shared" si="6"/>
        <v>3920.4210937499993</v>
      </c>
      <c r="N33" s="42">
        <f t="shared" si="6"/>
        <v>4691.77734375</v>
      </c>
      <c r="O33" s="40">
        <f t="shared" si="6"/>
        <v>4229.7609375000002</v>
      </c>
      <c r="P33" s="42">
        <f t="shared" si="6"/>
        <v>5062.6898437499995</v>
      </c>
      <c r="Q33" s="40">
        <f t="shared" si="6"/>
        <v>5610.4945312499995</v>
      </c>
      <c r="R33" s="42">
        <f t="shared" si="6"/>
        <v>5612.8570312499996</v>
      </c>
      <c r="S33" s="40">
        <f t="shared" si="6"/>
        <v>6722.3460937499995</v>
      </c>
      <c r="T33" s="42">
        <f t="shared" si="6"/>
        <v>7452.2109375</v>
      </c>
      <c r="U33" s="46">
        <f t="shared" si="5"/>
        <v>213.33333333333334</v>
      </c>
    </row>
    <row r="34" spans="1:21" x14ac:dyDescent="0.2">
      <c r="A34" s="8">
        <f>A33+100</f>
        <v>3300</v>
      </c>
      <c r="B34" s="9">
        <f t="shared" si="3"/>
        <v>330</v>
      </c>
      <c r="C34" s="40">
        <f t="shared" ref="C34:T34" si="7">$B$4*C$8/$B34/$B34*200/$U$34</f>
        <v>506.22990232907586</v>
      </c>
      <c r="D34" s="40">
        <f t="shared" si="7"/>
        <v>1013.8061607813675</v>
      </c>
      <c r="E34" s="42">
        <f t="shared" si="7"/>
        <v>753.55552216378658</v>
      </c>
      <c r="F34" s="40">
        <f t="shared" si="7"/>
        <v>991.86055597295262</v>
      </c>
      <c r="G34" s="42">
        <f t="shared" si="7"/>
        <v>1269.0752817430503</v>
      </c>
      <c r="H34" s="40">
        <f t="shared" si="7"/>
        <v>1587.0845980465815</v>
      </c>
      <c r="I34" s="42">
        <f t="shared" si="7"/>
        <v>1947.7734034560478</v>
      </c>
      <c r="J34" s="40">
        <f t="shared" si="7"/>
        <v>2353.0265965439521</v>
      </c>
      <c r="K34" s="42">
        <f t="shared" si="7"/>
        <v>2805.1329827197596</v>
      </c>
      <c r="L34" s="44">
        <f t="shared" si="7"/>
        <v>3325.4996243425994</v>
      </c>
      <c r="M34" s="40">
        <f t="shared" si="7"/>
        <v>3574.7101427498119</v>
      </c>
      <c r="N34" s="42">
        <f t="shared" si="7"/>
        <v>4278.0465815176558</v>
      </c>
      <c r="O34" s="40">
        <f t="shared" si="7"/>
        <v>3856.7717505634851</v>
      </c>
      <c r="P34" s="42">
        <f t="shared" si="7"/>
        <v>4616.251239669421</v>
      </c>
      <c r="Q34" s="40">
        <f t="shared" si="7"/>
        <v>5115.7493613824199</v>
      </c>
      <c r="R34" s="42">
        <f t="shared" si="7"/>
        <v>5117.9035311795642</v>
      </c>
      <c r="S34" s="40">
        <f t="shared" si="7"/>
        <v>6129.5555221637869</v>
      </c>
      <c r="T34" s="42">
        <f t="shared" si="7"/>
        <v>6795.059353869271</v>
      </c>
      <c r="U34" s="46">
        <f t="shared" si="5"/>
        <v>220</v>
      </c>
    </row>
    <row r="35" spans="1:21" x14ac:dyDescent="0.2">
      <c r="A35" s="8">
        <f>A34+100</f>
        <v>3400</v>
      </c>
      <c r="B35" s="9">
        <f t="shared" si="3"/>
        <v>340</v>
      </c>
      <c r="C35" s="40">
        <f t="shared" ref="C35:T35" si="8">$B$4*C$8/$B35/$B35*200/$U$35</f>
        <v>462.86342357012012</v>
      </c>
      <c r="D35" s="40">
        <f t="shared" si="8"/>
        <v>926.95786688377791</v>
      </c>
      <c r="E35" s="42">
        <f t="shared" si="8"/>
        <v>689.00175045796857</v>
      </c>
      <c r="F35" s="40">
        <f t="shared" si="8"/>
        <v>906.89224506411563</v>
      </c>
      <c r="G35" s="42">
        <f t="shared" si="8"/>
        <v>1160.3592102584978</v>
      </c>
      <c r="H35" s="40">
        <f t="shared" si="8"/>
        <v>1451.126073682068</v>
      </c>
      <c r="I35" s="42">
        <f t="shared" si="8"/>
        <v>1780.9162629757782</v>
      </c>
      <c r="J35" s="40">
        <f t="shared" si="8"/>
        <v>2151.4532057805823</v>
      </c>
      <c r="K35" s="42">
        <f t="shared" si="8"/>
        <v>2564.8296356604924</v>
      </c>
      <c r="L35" s="44">
        <f t="shared" si="8"/>
        <v>3040.6187665377574</v>
      </c>
      <c r="M35" s="40">
        <f t="shared" si="8"/>
        <v>3268.4805210665581</v>
      </c>
      <c r="N35" s="42">
        <f t="shared" si="8"/>
        <v>3911.5652350905766</v>
      </c>
      <c r="O35" s="40">
        <f t="shared" si="8"/>
        <v>3526.3791573376752</v>
      </c>
      <c r="P35" s="42">
        <f t="shared" si="8"/>
        <v>4220.79739466721</v>
      </c>
      <c r="Q35" s="40">
        <f t="shared" si="8"/>
        <v>4677.5057195196423</v>
      </c>
      <c r="R35" s="42">
        <f t="shared" si="8"/>
        <v>4679.4753511093022</v>
      </c>
      <c r="S35" s="40">
        <f t="shared" si="8"/>
        <v>5604.4635864034199</v>
      </c>
      <c r="T35" s="42">
        <f t="shared" si="8"/>
        <v>6212.9566456340326</v>
      </c>
      <c r="U35" s="46">
        <f t="shared" si="5"/>
        <v>226.66666666666666</v>
      </c>
    </row>
    <row r="36" spans="1:21" x14ac:dyDescent="0.2">
      <c r="A36" s="8">
        <f>A35+100</f>
        <v>3500</v>
      </c>
      <c r="B36" s="9">
        <f t="shared" si="3"/>
        <v>350</v>
      </c>
      <c r="C36" s="40">
        <f t="shared" ref="C36:T36" si="9">$B$4*C$8/$B36/$B36*200/$U$36</f>
        <v>424.31216326530603</v>
      </c>
      <c r="D36" s="40">
        <f t="shared" si="9"/>
        <v>849.75281632653059</v>
      </c>
      <c r="E36" s="42">
        <f t="shared" si="9"/>
        <v>631.61573877551018</v>
      </c>
      <c r="F36" s="40">
        <f t="shared" si="9"/>
        <v>831.3584326530613</v>
      </c>
      <c r="G36" s="42">
        <f t="shared" si="9"/>
        <v>1063.7144816326531</v>
      </c>
      <c r="H36" s="40">
        <f t="shared" si="9"/>
        <v>1330.2637714285713</v>
      </c>
      <c r="I36" s="42">
        <f t="shared" si="9"/>
        <v>1632.5861877551017</v>
      </c>
      <c r="J36" s="40">
        <f t="shared" si="9"/>
        <v>1972.2616163265304</v>
      </c>
      <c r="K36" s="42">
        <f t="shared" si="9"/>
        <v>2351.2084897959185</v>
      </c>
      <c r="L36" s="44">
        <f t="shared" si="9"/>
        <v>2787.3697959183669</v>
      </c>
      <c r="M36" s="40">
        <f t="shared" si="9"/>
        <v>2996.2532571428574</v>
      </c>
      <c r="N36" s="42">
        <f t="shared" si="9"/>
        <v>3585.7763265306126</v>
      </c>
      <c r="O36" s="40">
        <f t="shared" si="9"/>
        <v>3232.6718693877547</v>
      </c>
      <c r="P36" s="42">
        <f t="shared" si="9"/>
        <v>3869.2529632653059</v>
      </c>
      <c r="Q36" s="40">
        <f t="shared" si="9"/>
        <v>4287.9226775510206</v>
      </c>
      <c r="R36" s="42">
        <f t="shared" si="9"/>
        <v>4289.7282612244899</v>
      </c>
      <c r="S36" s="40">
        <f t="shared" si="9"/>
        <v>5137.6754938775512</v>
      </c>
      <c r="T36" s="42">
        <f t="shared" si="9"/>
        <v>5695.4879999999994</v>
      </c>
      <c r="U36" s="46">
        <f t="shared" si="5"/>
        <v>233.33333333333334</v>
      </c>
    </row>
    <row r="37" spans="1:21" x14ac:dyDescent="0.2">
      <c r="A37" s="8">
        <v>3600</v>
      </c>
      <c r="B37" s="9">
        <f t="shared" si="3"/>
        <v>360</v>
      </c>
      <c r="C37" s="40">
        <f t="shared" ref="C37:T37" si="10">$B$4*C$8/$B37/$B37*200/$U$37</f>
        <v>389.92592592592592</v>
      </c>
      <c r="D37" s="40">
        <f t="shared" si="10"/>
        <v>780.88888888888891</v>
      </c>
      <c r="E37" s="42">
        <f t="shared" si="10"/>
        <v>580.42962962962963</v>
      </c>
      <c r="F37" s="40">
        <f t="shared" si="10"/>
        <v>763.98518518518517</v>
      </c>
      <c r="G37" s="42">
        <f t="shared" si="10"/>
        <v>977.51111111111106</v>
      </c>
      <c r="H37" s="40">
        <f t="shared" si="10"/>
        <v>1222.4592592592594</v>
      </c>
      <c r="I37" s="42">
        <f t="shared" si="10"/>
        <v>1500.281481481481</v>
      </c>
      <c r="J37" s="40">
        <f t="shared" si="10"/>
        <v>1812.4296296296295</v>
      </c>
      <c r="K37" s="42">
        <f t="shared" si="10"/>
        <v>2160.666666666667</v>
      </c>
      <c r="L37" s="44">
        <f t="shared" si="10"/>
        <v>2561.4814814814818</v>
      </c>
      <c r="M37" s="40">
        <f t="shared" si="10"/>
        <v>2753.437037037037</v>
      </c>
      <c r="N37" s="42">
        <f t="shared" si="10"/>
        <v>3295.1851851851848</v>
      </c>
      <c r="O37" s="40">
        <f t="shared" si="10"/>
        <v>2970.6962962962957</v>
      </c>
      <c r="P37" s="42">
        <f t="shared" si="10"/>
        <v>3555.6888888888889</v>
      </c>
      <c r="Q37" s="40">
        <f t="shared" si="10"/>
        <v>3940.4296296296297</v>
      </c>
      <c r="R37" s="42">
        <f t="shared" si="10"/>
        <v>3942.0888888888885</v>
      </c>
      <c r="S37" s="40">
        <f t="shared" si="10"/>
        <v>4721.3185185185184</v>
      </c>
      <c r="T37" s="42">
        <f t="shared" si="10"/>
        <v>5233.9259259259261</v>
      </c>
      <c r="U37" s="46">
        <f t="shared" si="5"/>
        <v>240</v>
      </c>
    </row>
    <row r="38" spans="1:21" x14ac:dyDescent="0.2">
      <c r="A38" s="8">
        <f>A37+100</f>
        <v>3700</v>
      </c>
      <c r="B38" s="9">
        <f t="shared" si="3"/>
        <v>370</v>
      </c>
      <c r="C38" s="40">
        <f t="shared" ref="C38:T38" si="11">$B$4*C$8/$B38/$B38*200/$U$38</f>
        <v>359.15708842516739</v>
      </c>
      <c r="D38" s="40">
        <f t="shared" si="11"/>
        <v>719.26938187274209</v>
      </c>
      <c r="E38" s="42">
        <f t="shared" si="11"/>
        <v>534.62825104139927</v>
      </c>
      <c r="F38" s="40">
        <f t="shared" si="11"/>
        <v>703.69954000750204</v>
      </c>
      <c r="G38" s="42">
        <f t="shared" si="11"/>
        <v>900.37625412117745</v>
      </c>
      <c r="H38" s="40">
        <f t="shared" si="11"/>
        <v>1125.9956804137958</v>
      </c>
      <c r="I38" s="42">
        <f t="shared" si="11"/>
        <v>1381.8951059167273</v>
      </c>
      <c r="J38" s="40">
        <f t="shared" si="11"/>
        <v>1669.4118176613429</v>
      </c>
      <c r="K38" s="42">
        <f t="shared" si="11"/>
        <v>1990.1696641857345</v>
      </c>
      <c r="L38" s="44">
        <f t="shared" si="11"/>
        <v>2359.3564053461791</v>
      </c>
      <c r="M38" s="40">
        <f t="shared" si="11"/>
        <v>2536.1648549937813</v>
      </c>
      <c r="N38" s="42">
        <f t="shared" si="11"/>
        <v>3035.1639586993861</v>
      </c>
      <c r="O38" s="40">
        <f t="shared" si="11"/>
        <v>2736.2803071881226</v>
      </c>
      <c r="P38" s="42">
        <f t="shared" si="11"/>
        <v>3275.1114603281148</v>
      </c>
      <c r="Q38" s="40">
        <f t="shared" si="11"/>
        <v>3629.4925236412455</v>
      </c>
      <c r="R38" s="42">
        <f t="shared" si="11"/>
        <v>3631.0208516770977</v>
      </c>
      <c r="S38" s="40">
        <f t="shared" si="11"/>
        <v>4348.7619055139876</v>
      </c>
      <c r="T38" s="42">
        <f t="shared" si="11"/>
        <v>4820.9197480899447</v>
      </c>
      <c r="U38" s="46">
        <f t="shared" si="5"/>
        <v>246.66666666666666</v>
      </c>
    </row>
    <row r="39" spans="1:21" x14ac:dyDescent="0.2">
      <c r="A39" s="8">
        <f>A38+100</f>
        <v>3800</v>
      </c>
      <c r="B39" s="9">
        <f t="shared" si="3"/>
        <v>380</v>
      </c>
      <c r="C39" s="40">
        <f t="shared" ref="C39:T39" si="12">$B$4*C$8/$B39/$B39*200/$U$39</f>
        <v>331.54220731885113</v>
      </c>
      <c r="D39" s="40">
        <f t="shared" si="12"/>
        <v>663.96617582738008</v>
      </c>
      <c r="E39" s="42">
        <f t="shared" si="12"/>
        <v>493.52173786266212</v>
      </c>
      <c r="F39" s="40">
        <f t="shared" si="12"/>
        <v>649.59346843563208</v>
      </c>
      <c r="G39" s="42">
        <f t="shared" si="12"/>
        <v>831.1480973902901</v>
      </c>
      <c r="H39" s="40">
        <f t="shared" si="12"/>
        <v>1039.4200903921853</v>
      </c>
      <c r="I39" s="42">
        <f t="shared" si="12"/>
        <v>1275.6439131068666</v>
      </c>
      <c r="J39" s="40">
        <f t="shared" si="12"/>
        <v>1541.0540311998832</v>
      </c>
      <c r="K39" s="42">
        <f t="shared" si="12"/>
        <v>1837.149438693687</v>
      </c>
      <c r="L39" s="44">
        <f t="shared" si="12"/>
        <v>2177.9501385041553</v>
      </c>
      <c r="M39" s="40">
        <f t="shared" si="12"/>
        <v>2341.1641347135146</v>
      </c>
      <c r="N39" s="42">
        <f t="shared" si="12"/>
        <v>2801.7961802011951</v>
      </c>
      <c r="O39" s="40">
        <f t="shared" si="12"/>
        <v>2525.8931039510135</v>
      </c>
      <c r="P39" s="42">
        <f t="shared" si="12"/>
        <v>3023.2945910482581</v>
      </c>
      <c r="Q39" s="40">
        <f t="shared" si="12"/>
        <v>3350.4279924187199</v>
      </c>
      <c r="R39" s="42">
        <f t="shared" si="12"/>
        <v>3351.8388103222042</v>
      </c>
      <c r="S39" s="40">
        <f t="shared" si="12"/>
        <v>4014.3941682460995</v>
      </c>
      <c r="T39" s="42">
        <f t="shared" si="12"/>
        <v>4450.248724303834</v>
      </c>
      <c r="U39" s="46">
        <f t="shared" si="5"/>
        <v>253.33333333333334</v>
      </c>
    </row>
    <row r="40" spans="1:21" x14ac:dyDescent="0.2">
      <c r="A40" s="8">
        <f>A39+100</f>
        <v>3900</v>
      </c>
      <c r="B40" s="9">
        <f t="shared" si="3"/>
        <v>390</v>
      </c>
      <c r="C40" s="40">
        <f t="shared" ref="C40:T40" si="13">$B$4*C$8/$B40/$B40*200/$U$40</f>
        <v>306.68730086481565</v>
      </c>
      <c r="D40" s="40">
        <f t="shared" si="13"/>
        <v>614.1902594446974</v>
      </c>
      <c r="E40" s="42">
        <f t="shared" si="13"/>
        <v>456.52362312243974</v>
      </c>
      <c r="F40" s="40">
        <f t="shared" si="13"/>
        <v>600.89503868912152</v>
      </c>
      <c r="G40" s="42">
        <f t="shared" si="13"/>
        <v>768.83896222121064</v>
      </c>
      <c r="H40" s="40">
        <f t="shared" si="13"/>
        <v>961.49731451979972</v>
      </c>
      <c r="I40" s="42">
        <f t="shared" si="13"/>
        <v>1180.0120163859808</v>
      </c>
      <c r="J40" s="40">
        <f t="shared" si="13"/>
        <v>1425.5249886208467</v>
      </c>
      <c r="K40" s="42">
        <f t="shared" si="13"/>
        <v>1699.4228493400092</v>
      </c>
      <c r="L40" s="44">
        <f t="shared" si="13"/>
        <v>2014.6745562130175</v>
      </c>
      <c r="M40" s="40">
        <f t="shared" si="13"/>
        <v>2165.6527992717338</v>
      </c>
      <c r="N40" s="42">
        <f t="shared" si="13"/>
        <v>2591.7523896222119</v>
      </c>
      <c r="O40" s="40">
        <f t="shared" si="13"/>
        <v>2336.5330905780606</v>
      </c>
      <c r="P40" s="42">
        <f t="shared" si="13"/>
        <v>2796.6456076467916</v>
      </c>
      <c r="Q40" s="40">
        <f t="shared" si="13"/>
        <v>3099.2546199362769</v>
      </c>
      <c r="R40" s="42">
        <f t="shared" si="13"/>
        <v>3100.5596722803821</v>
      </c>
      <c r="S40" s="40">
        <f t="shared" si="13"/>
        <v>3713.4448793809738</v>
      </c>
      <c r="T40" s="42">
        <f t="shared" si="13"/>
        <v>4116.6244879380974</v>
      </c>
      <c r="U40" s="46">
        <f t="shared" si="5"/>
        <v>260</v>
      </c>
    </row>
    <row r="41" spans="1:21" x14ac:dyDescent="0.2">
      <c r="A41" s="8">
        <v>4200</v>
      </c>
      <c r="B41" s="9">
        <f t="shared" si="3"/>
        <v>420</v>
      </c>
      <c r="C41" s="40">
        <f t="shared" ref="C41:T41" si="14">$B$4*C$8/$B41/$B41*200/$U$41</f>
        <v>245.55102040816325</v>
      </c>
      <c r="D41" s="40">
        <f t="shared" si="14"/>
        <v>491.75510204081638</v>
      </c>
      <c r="E41" s="42">
        <f t="shared" si="14"/>
        <v>365.51836734693876</v>
      </c>
      <c r="F41" s="40">
        <f t="shared" si="14"/>
        <v>481.11020408163262</v>
      </c>
      <c r="G41" s="42">
        <f t="shared" si="14"/>
        <v>615.57551020408164</v>
      </c>
      <c r="H41" s="40">
        <f t="shared" si="14"/>
        <v>769.82857142857142</v>
      </c>
      <c r="I41" s="42">
        <f t="shared" si="14"/>
        <v>944.78367346938762</v>
      </c>
      <c r="J41" s="40">
        <f t="shared" si="14"/>
        <v>1141.3551020408165</v>
      </c>
      <c r="K41" s="42">
        <f t="shared" si="14"/>
        <v>1360.6530612244899</v>
      </c>
      <c r="L41" s="44">
        <f t="shared" si="14"/>
        <v>1613.0612244897959</v>
      </c>
      <c r="M41" s="40">
        <f t="shared" si="14"/>
        <v>1733.9428571428571</v>
      </c>
      <c r="N41" s="42">
        <f t="shared" si="14"/>
        <v>2075.1020408163267</v>
      </c>
      <c r="O41" s="40">
        <f t="shared" si="14"/>
        <v>1870.7591836734691</v>
      </c>
      <c r="P41" s="42">
        <f t="shared" si="14"/>
        <v>2239.1510204081633</v>
      </c>
      <c r="Q41" s="40">
        <f t="shared" si="14"/>
        <v>2481.4367346938775</v>
      </c>
      <c r="R41" s="42">
        <f t="shared" si="14"/>
        <v>2482.4816326530613</v>
      </c>
      <c r="S41" s="40">
        <f t="shared" si="14"/>
        <v>2973.1918367346939</v>
      </c>
      <c r="T41" s="42">
        <f t="shared" si="14"/>
        <v>3295.9999999999995</v>
      </c>
      <c r="U41" s="46">
        <f t="shared" si="5"/>
        <v>280</v>
      </c>
    </row>
  </sheetData>
  <mergeCells count="4">
    <mergeCell ref="A2:M2"/>
    <mergeCell ref="F3:M3"/>
    <mergeCell ref="C5:D5"/>
    <mergeCell ref="E5:M5"/>
  </mergeCells>
  <phoneticPr fontId="3" type="noConversion"/>
  <pageMargins left="0.7" right="0.7" top="0.75" bottom="0.75" header="0.3" footer="0.3"/>
  <pageSetup paperSize="9" scale="87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Box Beam L200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峰 佘</dc:creator>
  <cp:lastModifiedBy>峰 佘</cp:lastModifiedBy>
  <dcterms:created xsi:type="dcterms:W3CDTF">2026-05-13T04:22:38Z</dcterms:created>
  <dcterms:modified xsi:type="dcterms:W3CDTF">2026-05-13T04:22:58Z</dcterms:modified>
</cp:coreProperties>
</file>