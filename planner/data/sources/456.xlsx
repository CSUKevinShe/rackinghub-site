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She\OneDrive\Desktop\"/>
    </mc:Choice>
  </mc:AlternateContent>
  <xr:revisionPtr revIDLastSave="0" documentId="8_{1908362C-2B10-4213-8E6D-114AFB5887FD}" xr6:coauthVersionLast="47" xr6:coauthVersionMax="47" xr10:uidLastSave="{00000000-0000-0000-0000-000000000000}"/>
  <bookViews>
    <workbookView xWindow="2190" yWindow="2175" windowWidth="18000" windowHeight="10395" xr2:uid="{9761F4EA-4516-41E0-8822-424777CB21F7}"/>
  </bookViews>
  <sheets>
    <sheet name="柱片新表 " sheetId="1" r:id="rId1"/>
  </sheets>
  <definedNames>
    <definedName name="_xlnm.Print_Area" localSheetId="0">'柱片新表 '!$A$1:$Q$38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H37" i="1"/>
  <c r="G37" i="1"/>
  <c r="F37" i="1"/>
  <c r="E37" i="1"/>
  <c r="D37" i="1"/>
  <c r="C37" i="1"/>
  <c r="B37" i="1"/>
  <c r="I36" i="1"/>
  <c r="H36" i="1"/>
  <c r="G36" i="1"/>
  <c r="F36" i="1"/>
  <c r="E36" i="1"/>
  <c r="D36" i="1"/>
  <c r="C36" i="1"/>
  <c r="B36" i="1"/>
  <c r="I35" i="1"/>
  <c r="H35" i="1"/>
  <c r="G35" i="1"/>
  <c r="F35" i="1"/>
  <c r="E35" i="1"/>
  <c r="D35" i="1"/>
  <c r="C35" i="1"/>
  <c r="B35" i="1"/>
  <c r="I34" i="1"/>
  <c r="H34" i="1"/>
  <c r="G34" i="1"/>
  <c r="F34" i="1"/>
  <c r="E34" i="1"/>
  <c r="D34" i="1"/>
  <c r="C34" i="1"/>
  <c r="B34" i="1"/>
  <c r="I33" i="1"/>
  <c r="H33" i="1"/>
  <c r="G33" i="1"/>
  <c r="F33" i="1"/>
  <c r="E33" i="1"/>
  <c r="D33" i="1"/>
  <c r="C33" i="1"/>
  <c r="B33" i="1"/>
  <c r="I32" i="1"/>
  <c r="H32" i="1"/>
  <c r="G32" i="1"/>
  <c r="F32" i="1"/>
  <c r="E32" i="1"/>
  <c r="D32" i="1"/>
  <c r="C32" i="1"/>
  <c r="B32" i="1"/>
  <c r="I31" i="1"/>
  <c r="H31" i="1"/>
  <c r="G31" i="1"/>
  <c r="F31" i="1"/>
  <c r="E31" i="1"/>
  <c r="D31" i="1"/>
  <c r="C31" i="1"/>
  <c r="B31" i="1"/>
  <c r="I30" i="1"/>
  <c r="H30" i="1"/>
  <c r="G30" i="1"/>
  <c r="F30" i="1"/>
  <c r="E30" i="1"/>
  <c r="D30" i="1"/>
  <c r="C30" i="1"/>
  <c r="B30" i="1"/>
  <c r="I29" i="1"/>
  <c r="H29" i="1"/>
  <c r="G29" i="1"/>
  <c r="F29" i="1"/>
  <c r="E29" i="1"/>
  <c r="D29" i="1"/>
  <c r="C29" i="1"/>
  <c r="B29" i="1"/>
  <c r="I28" i="1"/>
  <c r="H28" i="1"/>
  <c r="G28" i="1"/>
  <c r="F28" i="1"/>
  <c r="E28" i="1"/>
  <c r="D28" i="1"/>
  <c r="C28" i="1"/>
  <c r="B28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G24" i="1"/>
  <c r="Q18" i="1"/>
  <c r="Q37" i="1" s="1"/>
  <c r="P18" i="1"/>
  <c r="P37" i="1" s="1"/>
  <c r="O18" i="1"/>
  <c r="O37" i="1" s="1"/>
  <c r="N18" i="1"/>
  <c r="N37" i="1" s="1"/>
  <c r="M18" i="1"/>
  <c r="M37" i="1" s="1"/>
  <c r="L18" i="1"/>
  <c r="L37" i="1" s="1"/>
  <c r="K18" i="1"/>
  <c r="K37" i="1" s="1"/>
  <c r="J18" i="1"/>
  <c r="J37" i="1" s="1"/>
  <c r="Q17" i="1"/>
  <c r="Q36" i="1" s="1"/>
  <c r="P17" i="1"/>
  <c r="P36" i="1" s="1"/>
  <c r="O17" i="1"/>
  <c r="O36" i="1" s="1"/>
  <c r="N17" i="1"/>
  <c r="N36" i="1" s="1"/>
  <c r="M17" i="1"/>
  <c r="M36" i="1" s="1"/>
  <c r="L17" i="1"/>
  <c r="L36" i="1" s="1"/>
  <c r="K17" i="1"/>
  <c r="K36" i="1" s="1"/>
  <c r="J17" i="1"/>
  <c r="J36" i="1" s="1"/>
  <c r="Q16" i="1"/>
  <c r="Q35" i="1" s="1"/>
  <c r="P16" i="1"/>
  <c r="P35" i="1" s="1"/>
  <c r="O16" i="1"/>
  <c r="O35" i="1" s="1"/>
  <c r="N16" i="1"/>
  <c r="N35" i="1" s="1"/>
  <c r="M16" i="1"/>
  <c r="M35" i="1" s="1"/>
  <c r="L16" i="1"/>
  <c r="L35" i="1" s="1"/>
  <c r="K16" i="1"/>
  <c r="K35" i="1" s="1"/>
  <c r="J16" i="1"/>
  <c r="J35" i="1" s="1"/>
  <c r="Q15" i="1"/>
  <c r="Q34" i="1" s="1"/>
  <c r="P15" i="1"/>
  <c r="P34" i="1" s="1"/>
  <c r="O15" i="1"/>
  <c r="O34" i="1" s="1"/>
  <c r="N15" i="1"/>
  <c r="N34" i="1" s="1"/>
  <c r="M15" i="1"/>
  <c r="M34" i="1" s="1"/>
  <c r="L15" i="1"/>
  <c r="L34" i="1" s="1"/>
  <c r="K15" i="1"/>
  <c r="K34" i="1" s="1"/>
  <c r="J15" i="1"/>
  <c r="J34" i="1" s="1"/>
  <c r="Q14" i="1"/>
  <c r="Q33" i="1" s="1"/>
  <c r="P14" i="1"/>
  <c r="P33" i="1" s="1"/>
  <c r="O14" i="1"/>
  <c r="O33" i="1" s="1"/>
  <c r="N14" i="1"/>
  <c r="N33" i="1" s="1"/>
  <c r="M14" i="1"/>
  <c r="M33" i="1" s="1"/>
  <c r="L14" i="1"/>
  <c r="L33" i="1" s="1"/>
  <c r="K14" i="1"/>
  <c r="K33" i="1" s="1"/>
  <c r="J14" i="1"/>
  <c r="J33" i="1" s="1"/>
  <c r="Q13" i="1"/>
  <c r="Q32" i="1" s="1"/>
  <c r="P13" i="1"/>
  <c r="P32" i="1" s="1"/>
  <c r="O13" i="1"/>
  <c r="O32" i="1" s="1"/>
  <c r="N13" i="1"/>
  <c r="N32" i="1" s="1"/>
  <c r="M13" i="1"/>
  <c r="M32" i="1" s="1"/>
  <c r="L13" i="1"/>
  <c r="L32" i="1" s="1"/>
  <c r="K13" i="1"/>
  <c r="K32" i="1" s="1"/>
  <c r="J13" i="1"/>
  <c r="J32" i="1" s="1"/>
  <c r="Q12" i="1"/>
  <c r="Q31" i="1" s="1"/>
  <c r="P12" i="1"/>
  <c r="P31" i="1" s="1"/>
  <c r="O12" i="1"/>
  <c r="O31" i="1" s="1"/>
  <c r="N12" i="1"/>
  <c r="N31" i="1" s="1"/>
  <c r="M12" i="1"/>
  <c r="M31" i="1" s="1"/>
  <c r="L12" i="1"/>
  <c r="L31" i="1" s="1"/>
  <c r="K12" i="1"/>
  <c r="K31" i="1" s="1"/>
  <c r="J12" i="1"/>
  <c r="J31" i="1" s="1"/>
  <c r="Q11" i="1"/>
  <c r="Q30" i="1" s="1"/>
  <c r="P11" i="1"/>
  <c r="P30" i="1" s="1"/>
  <c r="O11" i="1"/>
  <c r="O30" i="1" s="1"/>
  <c r="N11" i="1"/>
  <c r="N30" i="1" s="1"/>
  <c r="M11" i="1"/>
  <c r="M30" i="1" s="1"/>
  <c r="L11" i="1"/>
  <c r="L30" i="1" s="1"/>
  <c r="K11" i="1"/>
  <c r="K30" i="1" s="1"/>
  <c r="J11" i="1"/>
  <c r="J30" i="1" s="1"/>
  <c r="Q10" i="1"/>
  <c r="Q29" i="1" s="1"/>
  <c r="P10" i="1"/>
  <c r="P29" i="1" s="1"/>
  <c r="O10" i="1"/>
  <c r="O29" i="1" s="1"/>
  <c r="N10" i="1"/>
  <c r="N29" i="1" s="1"/>
  <c r="M10" i="1"/>
  <c r="M29" i="1" s="1"/>
  <c r="L10" i="1"/>
  <c r="L29" i="1" s="1"/>
  <c r="K10" i="1"/>
  <c r="K29" i="1" s="1"/>
  <c r="J10" i="1"/>
  <c r="J29" i="1" s="1"/>
  <c r="Q9" i="1"/>
  <c r="Q28" i="1" s="1"/>
  <c r="P9" i="1"/>
  <c r="P28" i="1" s="1"/>
  <c r="O9" i="1"/>
  <c r="O28" i="1" s="1"/>
  <c r="N9" i="1"/>
  <c r="N28" i="1" s="1"/>
  <c r="M9" i="1"/>
  <c r="M28" i="1" s="1"/>
  <c r="L9" i="1"/>
  <c r="L28" i="1" s="1"/>
  <c r="K9" i="1"/>
  <c r="K28" i="1" s="1"/>
  <c r="J9" i="1"/>
  <c r="J28" i="1" s="1"/>
  <c r="Q8" i="1"/>
  <c r="Q27" i="1" s="1"/>
  <c r="P8" i="1"/>
  <c r="P27" i="1" s="1"/>
  <c r="O8" i="1"/>
  <c r="O27" i="1" s="1"/>
  <c r="N8" i="1"/>
  <c r="N27" i="1" s="1"/>
  <c r="M8" i="1"/>
  <c r="M27" i="1" s="1"/>
  <c r="L8" i="1"/>
  <c r="L27" i="1" s="1"/>
  <c r="K8" i="1"/>
  <c r="K27" i="1" s="1"/>
  <c r="J8" i="1"/>
  <c r="J27" i="1" s="1"/>
  <c r="Q7" i="1"/>
  <c r="Q26" i="1" s="1"/>
  <c r="P7" i="1"/>
  <c r="P26" i="1" s="1"/>
  <c r="O7" i="1"/>
  <c r="O26" i="1" s="1"/>
  <c r="N7" i="1"/>
  <c r="N26" i="1" s="1"/>
  <c r="M7" i="1"/>
  <c r="M26" i="1" s="1"/>
  <c r="L7" i="1"/>
  <c r="L26" i="1" s="1"/>
  <c r="K7" i="1"/>
  <c r="K26" i="1" s="1"/>
  <c r="J7" i="1"/>
  <c r="J26" i="1" s="1"/>
  <c r="G5" i="1"/>
  <c r="Q4" i="1"/>
  <c r="O4" i="1"/>
  <c r="M4" i="1"/>
  <c r="K4" i="1"/>
  <c r="I4" i="1"/>
  <c r="G4" i="1"/>
  <c r="E4" i="1"/>
</calcChain>
</file>

<file path=xl/sharedStrings.xml><?xml version="1.0" encoding="utf-8"?>
<sst xmlns="http://schemas.openxmlformats.org/spreadsheetml/2006/main" count="79" uniqueCount="29">
  <si>
    <t>Frame Loading Table (Grade Q235)</t>
  </si>
  <si>
    <t>Minimum 260Mpa Yield strength requirement @ 1.65 safety margin (or 280Mpa @ 1.80 safety margin)</t>
  </si>
  <si>
    <t>DEXION</t>
  </si>
  <si>
    <t>80*58 (1.8) SF</t>
  </si>
  <si>
    <t>90*68 (1.8) SF</t>
  </si>
  <si>
    <t>90*70 (1.8)</t>
  </si>
  <si>
    <t>90*70 (2.0)</t>
  </si>
  <si>
    <t>90*70 (2.3)</t>
  </si>
  <si>
    <t>100*70(2.3)</t>
  </si>
  <si>
    <t>100*70(2.5)</t>
  </si>
  <si>
    <t>120*70(2.3)</t>
  </si>
  <si>
    <t>120*70(2.5)</t>
  </si>
  <si>
    <r>
      <t xml:space="preserve">120x95
</t>
    </r>
    <r>
      <rPr>
        <b/>
        <sz val="9"/>
        <rFont val="宋体"/>
        <family val="3"/>
        <charset val="134"/>
      </rPr>
      <t>（</t>
    </r>
    <r>
      <rPr>
        <b/>
        <sz val="9"/>
        <rFont val="Arial"/>
        <family val="2"/>
      </rPr>
      <t>2.5</t>
    </r>
    <r>
      <rPr>
        <b/>
        <sz val="9"/>
        <rFont val="宋体"/>
        <family val="3"/>
        <charset val="134"/>
      </rPr>
      <t>）</t>
    </r>
  </si>
  <si>
    <r>
      <rPr>
        <b/>
        <sz val="9"/>
        <rFont val="Arial"/>
        <family val="2"/>
      </rPr>
      <t xml:space="preserve">120x95
</t>
    </r>
    <r>
      <rPr>
        <b/>
        <sz val="9"/>
        <rFont val="宋体"/>
        <family val="3"/>
        <charset val="134"/>
      </rPr>
      <t>（</t>
    </r>
    <r>
      <rPr>
        <b/>
        <sz val="9"/>
        <rFont val="Arial"/>
        <family val="2"/>
      </rPr>
      <t>2.8</t>
    </r>
    <r>
      <rPr>
        <b/>
        <sz val="9"/>
        <rFont val="宋体"/>
        <family val="3"/>
        <charset val="134"/>
      </rPr>
      <t>）</t>
    </r>
  </si>
  <si>
    <r>
      <t xml:space="preserve">120x135
</t>
    </r>
    <r>
      <rPr>
        <b/>
        <sz val="9"/>
        <rFont val="宋体"/>
        <family val="3"/>
        <charset val="134"/>
      </rPr>
      <t>（</t>
    </r>
    <r>
      <rPr>
        <b/>
        <sz val="9"/>
        <rFont val="Arial"/>
        <family val="2"/>
      </rPr>
      <t>2.5</t>
    </r>
    <r>
      <rPr>
        <b/>
        <sz val="9"/>
        <rFont val="宋体"/>
        <family val="3"/>
        <charset val="134"/>
      </rPr>
      <t>）</t>
    </r>
  </si>
  <si>
    <r>
      <t xml:space="preserve">120x135
</t>
    </r>
    <r>
      <rPr>
        <b/>
        <sz val="9"/>
        <rFont val="宋体"/>
        <family val="3"/>
        <charset val="134"/>
      </rPr>
      <t>（</t>
    </r>
    <r>
      <rPr>
        <b/>
        <sz val="9"/>
        <rFont val="Arial"/>
        <family val="2"/>
      </rPr>
      <t>2.8</t>
    </r>
    <r>
      <rPr>
        <b/>
        <sz val="9"/>
        <rFont val="宋体"/>
        <family val="3"/>
        <charset val="134"/>
      </rPr>
      <t>）</t>
    </r>
  </si>
  <si>
    <r>
      <rPr>
        <b/>
        <sz val="9"/>
        <rFont val="Arial"/>
        <family val="2"/>
      </rPr>
      <t xml:space="preserve">120x95
</t>
    </r>
    <r>
      <rPr>
        <b/>
        <sz val="9"/>
        <rFont val="宋体"/>
        <family val="3"/>
        <charset val="134"/>
      </rPr>
      <t>（</t>
    </r>
    <r>
      <rPr>
        <b/>
        <sz val="9"/>
        <rFont val="Arial"/>
        <family val="2"/>
      </rPr>
      <t>2.5</t>
    </r>
    <r>
      <rPr>
        <b/>
        <sz val="9"/>
        <rFont val="宋体"/>
        <family val="3"/>
        <charset val="134"/>
      </rPr>
      <t>）</t>
    </r>
  </si>
  <si>
    <r>
      <rPr>
        <b/>
        <sz val="9"/>
        <rFont val="Arial"/>
        <family val="2"/>
      </rPr>
      <t xml:space="preserve">120x95
</t>
    </r>
    <r>
      <rPr>
        <b/>
        <sz val="9"/>
        <rFont val="宋体"/>
        <family val="3"/>
        <charset val="134"/>
      </rPr>
      <t>（</t>
    </r>
    <r>
      <rPr>
        <b/>
        <sz val="9"/>
        <rFont val="Arial"/>
        <family val="2"/>
      </rPr>
      <t>2.3</t>
    </r>
    <r>
      <rPr>
        <b/>
        <sz val="9"/>
        <rFont val="宋体"/>
        <family val="3"/>
        <charset val="134"/>
      </rPr>
      <t>）</t>
    </r>
  </si>
  <si>
    <t>COLBY MAXI</t>
  </si>
  <si>
    <t>88*70 (2.0)</t>
  </si>
  <si>
    <t>1st beam</t>
  </si>
  <si>
    <t>D</t>
  </si>
  <si>
    <t>Z / X</t>
  </si>
  <si>
    <t>Frame Loading Table (Grade Q355)</t>
  </si>
  <si>
    <t>120x95
（2.5）</t>
  </si>
  <si>
    <t>120x95
（2.8）</t>
  </si>
  <si>
    <t>120x135
（2.5）</t>
  </si>
  <si>
    <t>120x135
（2.8）</t>
  </si>
  <si>
    <t>120x95
（2.3）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</si>
</sst>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mm&quot;"/>
    <numFmt numFmtId="177" formatCode="_ * #,##0_ ;_ * \-#,##0_ ;_ * &quot;-&quot;??_ ;_ @_ "/>
  </numFmts>
  <fonts count="7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1"/>
      <name val="Arial"/>
      <family val="2"/>
    </font>
    <font>
      <sz val="9"/>
      <name val="宋体"/>
      <family val="2"/>
      <charset val="134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1" fillId="0" borderId="0" xfId="1">
      <alignment vertical="center"/>
    </xf>
    <xf numFmtId="0" fontId="5" fillId="0" borderId="0" xfId="1" applyFont="1" applyAlignment="1">
      <alignment horizontal="left" vertical="center"/>
    </xf>
    <xf numFmtId="0" fontId="5" fillId="0" borderId="1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vertical="center" wrapText="1"/>
    </xf>
    <xf numFmtId="176" fontId="4" fillId="3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horizontal="center" vertical="center" wrapText="1"/>
    </xf>
    <xf numFmtId="177" fontId="4" fillId="3" borderId="1" xfId="1" applyNumberFormat="1" applyFont="1" applyFill="1" applyBorder="1" applyAlignment="1">
      <alignment vertical="center" wrapText="1"/>
    </xf>
    <xf numFmtId="177" fontId="4" fillId="0" borderId="1" xfId="1" applyNumberFormat="1" applyFont="1" applyBorder="1" applyAlignment="1">
      <alignment vertical="center" wrapText="1"/>
    </xf>
    <xf numFmtId="176" fontId="4" fillId="0" borderId="1" xfId="1" applyNumberFormat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4" fillId="0" borderId="1" xfId="1" applyFont="1" applyBorder="1" applyAlignment="1">
      <alignment horizontal="center" vertical="center" wrapText="1"/>
    </xf>
    <xf numFmtId="177" fontId="4" fillId="2" borderId="1" xfId="1" applyNumberFormat="1" applyFont="1" applyFill="1" applyBorder="1" applyAlignment="1">
      <alignment vertical="center" wrapText="1"/>
    </xf>
    <xf numFmtId="176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>
      <alignment vertical="center"/>
    </xf>
    <xf numFmtId="10" fontId="4" fillId="0" borderId="1" xfId="1" applyNumberFormat="1" applyFont="1" applyBorder="1" applyAlignment="1">
      <alignment vertical="center" wrapText="1"/>
    </xf>
    <xf numFmtId="177" fontId="4" fillId="4" borderId="1" xfId="1" applyNumberFormat="1" applyFont="1" applyFill="1" applyBorder="1" applyAlignment="1">
      <alignment vertical="center" wrapText="1"/>
    </xf>
    <xf numFmtId="177" fontId="4" fillId="5" borderId="1" xfId="1" applyNumberFormat="1" applyFont="1" applyFill="1" applyBorder="1" applyAlignment="1">
      <alignment vertical="center" wrapText="1"/>
    </xf>
    <xf numFmtId="9" fontId="4" fillId="0" borderId="0" xfId="1" applyNumberFormat="1" applyFont="1">
      <alignment vertical="center"/>
    </xf>
    <xf numFmtId="0" fontId="4" fillId="0" borderId="0" xfId="1" applyFont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</cellXfs>
  <cellStyles count="2">
    <cellStyle name="常规" xfId="0" builtinId="0"/>
    <cellStyle name="常规 4" xfId="1" xr:uid="{E456B06F-D210-413E-896F-9B9EC594BD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A90C-3772-4DB0-89BB-92FD91DF6560}">
  <dimension ref="A1:IV38"/>
  <sheetViews>
    <sheetView tabSelected="1" topLeftCell="A21" workbookViewId="0">
      <selection activeCell="G31" sqref="G31"/>
    </sheetView>
  </sheetViews>
  <sheetFormatPr defaultColWidth="7.375" defaultRowHeight="14.25" outlineLevelCol="1" x14ac:dyDescent="0.15"/>
  <cols>
    <col min="1" max="1" width="7.375" style="24" customWidth="1"/>
    <col min="2" max="2" width="6.875" style="2" customWidth="1" outlineLevel="1"/>
    <col min="3" max="3" width="6.5" style="25" customWidth="1"/>
    <col min="4" max="17" width="6.5" style="2" customWidth="1"/>
    <col min="18" max="19" width="6.375" style="2" customWidth="1"/>
    <col min="20" max="20" width="7" style="2" customWidth="1"/>
    <col min="21" max="23" width="6.375" style="2" customWidth="1"/>
    <col min="24" max="255" width="8.125" style="2" customWidth="1"/>
    <col min="256" max="256" width="7.375" style="2"/>
    <col min="257" max="257" width="7.375" style="5"/>
    <col min="258" max="258" width="6.875" style="5" customWidth="1"/>
    <col min="259" max="273" width="6.5" style="5" customWidth="1"/>
    <col min="274" max="275" width="6.375" style="5" customWidth="1"/>
    <col min="276" max="276" width="7" style="5" customWidth="1"/>
    <col min="277" max="279" width="6.375" style="5" customWidth="1"/>
    <col min="280" max="511" width="8.125" style="5" customWidth="1"/>
    <col min="512" max="513" width="7.375" style="5"/>
    <col min="514" max="514" width="6.875" style="5" customWidth="1"/>
    <col min="515" max="529" width="6.5" style="5" customWidth="1"/>
    <col min="530" max="531" width="6.375" style="5" customWidth="1"/>
    <col min="532" max="532" width="7" style="5" customWidth="1"/>
    <col min="533" max="535" width="6.375" style="5" customWidth="1"/>
    <col min="536" max="767" width="8.125" style="5" customWidth="1"/>
    <col min="768" max="769" width="7.375" style="5"/>
    <col min="770" max="770" width="6.875" style="5" customWidth="1"/>
    <col min="771" max="785" width="6.5" style="5" customWidth="1"/>
    <col min="786" max="787" width="6.375" style="5" customWidth="1"/>
    <col min="788" max="788" width="7" style="5" customWidth="1"/>
    <col min="789" max="791" width="6.375" style="5" customWidth="1"/>
    <col min="792" max="1023" width="8.125" style="5" customWidth="1"/>
    <col min="1024" max="1025" width="7.375" style="5"/>
    <col min="1026" max="1026" width="6.875" style="5" customWidth="1"/>
    <col min="1027" max="1041" width="6.5" style="5" customWidth="1"/>
    <col min="1042" max="1043" width="6.375" style="5" customWidth="1"/>
    <col min="1044" max="1044" width="7" style="5" customWidth="1"/>
    <col min="1045" max="1047" width="6.375" style="5" customWidth="1"/>
    <col min="1048" max="1279" width="8.125" style="5" customWidth="1"/>
    <col min="1280" max="1281" width="7.375" style="5"/>
    <col min="1282" max="1282" width="6.875" style="5" customWidth="1"/>
    <col min="1283" max="1297" width="6.5" style="5" customWidth="1"/>
    <col min="1298" max="1299" width="6.375" style="5" customWidth="1"/>
    <col min="1300" max="1300" width="7" style="5" customWidth="1"/>
    <col min="1301" max="1303" width="6.375" style="5" customWidth="1"/>
    <col min="1304" max="1535" width="8.125" style="5" customWidth="1"/>
    <col min="1536" max="1537" width="7.375" style="5"/>
    <col min="1538" max="1538" width="6.875" style="5" customWidth="1"/>
    <col min="1539" max="1553" width="6.5" style="5" customWidth="1"/>
    <col min="1554" max="1555" width="6.375" style="5" customWidth="1"/>
    <col min="1556" max="1556" width="7" style="5" customWidth="1"/>
    <col min="1557" max="1559" width="6.375" style="5" customWidth="1"/>
    <col min="1560" max="1791" width="8.125" style="5" customWidth="1"/>
    <col min="1792" max="1793" width="7.375" style="5"/>
    <col min="1794" max="1794" width="6.875" style="5" customWidth="1"/>
    <col min="1795" max="1809" width="6.5" style="5" customWidth="1"/>
    <col min="1810" max="1811" width="6.375" style="5" customWidth="1"/>
    <col min="1812" max="1812" width="7" style="5" customWidth="1"/>
    <col min="1813" max="1815" width="6.375" style="5" customWidth="1"/>
    <col min="1816" max="2047" width="8.125" style="5" customWidth="1"/>
    <col min="2048" max="2049" width="7.375" style="5"/>
    <col min="2050" max="2050" width="6.875" style="5" customWidth="1"/>
    <col min="2051" max="2065" width="6.5" style="5" customWidth="1"/>
    <col min="2066" max="2067" width="6.375" style="5" customWidth="1"/>
    <col min="2068" max="2068" width="7" style="5" customWidth="1"/>
    <col min="2069" max="2071" width="6.375" style="5" customWidth="1"/>
    <col min="2072" max="2303" width="8.125" style="5" customWidth="1"/>
    <col min="2304" max="2305" width="7.375" style="5"/>
    <col min="2306" max="2306" width="6.875" style="5" customWidth="1"/>
    <col min="2307" max="2321" width="6.5" style="5" customWidth="1"/>
    <col min="2322" max="2323" width="6.375" style="5" customWidth="1"/>
    <col min="2324" max="2324" width="7" style="5" customWidth="1"/>
    <col min="2325" max="2327" width="6.375" style="5" customWidth="1"/>
    <col min="2328" max="2559" width="8.125" style="5" customWidth="1"/>
    <col min="2560" max="2561" width="7.375" style="5"/>
    <col min="2562" max="2562" width="6.875" style="5" customWidth="1"/>
    <col min="2563" max="2577" width="6.5" style="5" customWidth="1"/>
    <col min="2578" max="2579" width="6.375" style="5" customWidth="1"/>
    <col min="2580" max="2580" width="7" style="5" customWidth="1"/>
    <col min="2581" max="2583" width="6.375" style="5" customWidth="1"/>
    <col min="2584" max="2815" width="8.125" style="5" customWidth="1"/>
    <col min="2816" max="2817" width="7.375" style="5"/>
    <col min="2818" max="2818" width="6.875" style="5" customWidth="1"/>
    <col min="2819" max="2833" width="6.5" style="5" customWidth="1"/>
    <col min="2834" max="2835" width="6.375" style="5" customWidth="1"/>
    <col min="2836" max="2836" width="7" style="5" customWidth="1"/>
    <col min="2837" max="2839" width="6.375" style="5" customWidth="1"/>
    <col min="2840" max="3071" width="8.125" style="5" customWidth="1"/>
    <col min="3072" max="3073" width="7.375" style="5"/>
    <col min="3074" max="3074" width="6.875" style="5" customWidth="1"/>
    <col min="3075" max="3089" width="6.5" style="5" customWidth="1"/>
    <col min="3090" max="3091" width="6.375" style="5" customWidth="1"/>
    <col min="3092" max="3092" width="7" style="5" customWidth="1"/>
    <col min="3093" max="3095" width="6.375" style="5" customWidth="1"/>
    <col min="3096" max="3327" width="8.125" style="5" customWidth="1"/>
    <col min="3328" max="3329" width="7.375" style="5"/>
    <col min="3330" max="3330" width="6.875" style="5" customWidth="1"/>
    <col min="3331" max="3345" width="6.5" style="5" customWidth="1"/>
    <col min="3346" max="3347" width="6.375" style="5" customWidth="1"/>
    <col min="3348" max="3348" width="7" style="5" customWidth="1"/>
    <col min="3349" max="3351" width="6.375" style="5" customWidth="1"/>
    <col min="3352" max="3583" width="8.125" style="5" customWidth="1"/>
    <col min="3584" max="3585" width="7.375" style="5"/>
    <col min="3586" max="3586" width="6.875" style="5" customWidth="1"/>
    <col min="3587" max="3601" width="6.5" style="5" customWidth="1"/>
    <col min="3602" max="3603" width="6.375" style="5" customWidth="1"/>
    <col min="3604" max="3604" width="7" style="5" customWidth="1"/>
    <col min="3605" max="3607" width="6.375" style="5" customWidth="1"/>
    <col min="3608" max="3839" width="8.125" style="5" customWidth="1"/>
    <col min="3840" max="3841" width="7.375" style="5"/>
    <col min="3842" max="3842" width="6.875" style="5" customWidth="1"/>
    <col min="3843" max="3857" width="6.5" style="5" customWidth="1"/>
    <col min="3858" max="3859" width="6.375" style="5" customWidth="1"/>
    <col min="3860" max="3860" width="7" style="5" customWidth="1"/>
    <col min="3861" max="3863" width="6.375" style="5" customWidth="1"/>
    <col min="3864" max="4095" width="8.125" style="5" customWidth="1"/>
    <col min="4096" max="4097" width="7.375" style="5"/>
    <col min="4098" max="4098" width="6.875" style="5" customWidth="1"/>
    <col min="4099" max="4113" width="6.5" style="5" customWidth="1"/>
    <col min="4114" max="4115" width="6.375" style="5" customWidth="1"/>
    <col min="4116" max="4116" width="7" style="5" customWidth="1"/>
    <col min="4117" max="4119" width="6.375" style="5" customWidth="1"/>
    <col min="4120" max="4351" width="8.125" style="5" customWidth="1"/>
    <col min="4352" max="4353" width="7.375" style="5"/>
    <col min="4354" max="4354" width="6.875" style="5" customWidth="1"/>
    <col min="4355" max="4369" width="6.5" style="5" customWidth="1"/>
    <col min="4370" max="4371" width="6.375" style="5" customWidth="1"/>
    <col min="4372" max="4372" width="7" style="5" customWidth="1"/>
    <col min="4373" max="4375" width="6.375" style="5" customWidth="1"/>
    <col min="4376" max="4607" width="8.125" style="5" customWidth="1"/>
    <col min="4608" max="4609" width="7.375" style="5"/>
    <col min="4610" max="4610" width="6.875" style="5" customWidth="1"/>
    <col min="4611" max="4625" width="6.5" style="5" customWidth="1"/>
    <col min="4626" max="4627" width="6.375" style="5" customWidth="1"/>
    <col min="4628" max="4628" width="7" style="5" customWidth="1"/>
    <col min="4629" max="4631" width="6.375" style="5" customWidth="1"/>
    <col min="4632" max="4863" width="8.125" style="5" customWidth="1"/>
    <col min="4864" max="4865" width="7.375" style="5"/>
    <col min="4866" max="4866" width="6.875" style="5" customWidth="1"/>
    <col min="4867" max="4881" width="6.5" style="5" customWidth="1"/>
    <col min="4882" max="4883" width="6.375" style="5" customWidth="1"/>
    <col min="4884" max="4884" width="7" style="5" customWidth="1"/>
    <col min="4885" max="4887" width="6.375" style="5" customWidth="1"/>
    <col min="4888" max="5119" width="8.125" style="5" customWidth="1"/>
    <col min="5120" max="5121" width="7.375" style="5"/>
    <col min="5122" max="5122" width="6.875" style="5" customWidth="1"/>
    <col min="5123" max="5137" width="6.5" style="5" customWidth="1"/>
    <col min="5138" max="5139" width="6.375" style="5" customWidth="1"/>
    <col min="5140" max="5140" width="7" style="5" customWidth="1"/>
    <col min="5141" max="5143" width="6.375" style="5" customWidth="1"/>
    <col min="5144" max="5375" width="8.125" style="5" customWidth="1"/>
    <col min="5376" max="5377" width="7.375" style="5"/>
    <col min="5378" max="5378" width="6.875" style="5" customWidth="1"/>
    <col min="5379" max="5393" width="6.5" style="5" customWidth="1"/>
    <col min="5394" max="5395" width="6.375" style="5" customWidth="1"/>
    <col min="5396" max="5396" width="7" style="5" customWidth="1"/>
    <col min="5397" max="5399" width="6.375" style="5" customWidth="1"/>
    <col min="5400" max="5631" width="8.125" style="5" customWidth="1"/>
    <col min="5632" max="5633" width="7.375" style="5"/>
    <col min="5634" max="5634" width="6.875" style="5" customWidth="1"/>
    <col min="5635" max="5649" width="6.5" style="5" customWidth="1"/>
    <col min="5650" max="5651" width="6.375" style="5" customWidth="1"/>
    <col min="5652" max="5652" width="7" style="5" customWidth="1"/>
    <col min="5653" max="5655" width="6.375" style="5" customWidth="1"/>
    <col min="5656" max="5887" width="8.125" style="5" customWidth="1"/>
    <col min="5888" max="5889" width="7.375" style="5"/>
    <col min="5890" max="5890" width="6.875" style="5" customWidth="1"/>
    <col min="5891" max="5905" width="6.5" style="5" customWidth="1"/>
    <col min="5906" max="5907" width="6.375" style="5" customWidth="1"/>
    <col min="5908" max="5908" width="7" style="5" customWidth="1"/>
    <col min="5909" max="5911" width="6.375" style="5" customWidth="1"/>
    <col min="5912" max="6143" width="8.125" style="5" customWidth="1"/>
    <col min="6144" max="6145" width="7.375" style="5"/>
    <col min="6146" max="6146" width="6.875" style="5" customWidth="1"/>
    <col min="6147" max="6161" width="6.5" style="5" customWidth="1"/>
    <col min="6162" max="6163" width="6.375" style="5" customWidth="1"/>
    <col min="6164" max="6164" width="7" style="5" customWidth="1"/>
    <col min="6165" max="6167" width="6.375" style="5" customWidth="1"/>
    <col min="6168" max="6399" width="8.125" style="5" customWidth="1"/>
    <col min="6400" max="6401" width="7.375" style="5"/>
    <col min="6402" max="6402" width="6.875" style="5" customWidth="1"/>
    <col min="6403" max="6417" width="6.5" style="5" customWidth="1"/>
    <col min="6418" max="6419" width="6.375" style="5" customWidth="1"/>
    <col min="6420" max="6420" width="7" style="5" customWidth="1"/>
    <col min="6421" max="6423" width="6.375" style="5" customWidth="1"/>
    <col min="6424" max="6655" width="8.125" style="5" customWidth="1"/>
    <col min="6656" max="6657" width="7.375" style="5"/>
    <col min="6658" max="6658" width="6.875" style="5" customWidth="1"/>
    <col min="6659" max="6673" width="6.5" style="5" customWidth="1"/>
    <col min="6674" max="6675" width="6.375" style="5" customWidth="1"/>
    <col min="6676" max="6676" width="7" style="5" customWidth="1"/>
    <col min="6677" max="6679" width="6.375" style="5" customWidth="1"/>
    <col min="6680" max="6911" width="8.125" style="5" customWidth="1"/>
    <col min="6912" max="6913" width="7.375" style="5"/>
    <col min="6914" max="6914" width="6.875" style="5" customWidth="1"/>
    <col min="6915" max="6929" width="6.5" style="5" customWidth="1"/>
    <col min="6930" max="6931" width="6.375" style="5" customWidth="1"/>
    <col min="6932" max="6932" width="7" style="5" customWidth="1"/>
    <col min="6933" max="6935" width="6.375" style="5" customWidth="1"/>
    <col min="6936" max="7167" width="8.125" style="5" customWidth="1"/>
    <col min="7168" max="7169" width="7.375" style="5"/>
    <col min="7170" max="7170" width="6.875" style="5" customWidth="1"/>
    <col min="7171" max="7185" width="6.5" style="5" customWidth="1"/>
    <col min="7186" max="7187" width="6.375" style="5" customWidth="1"/>
    <col min="7188" max="7188" width="7" style="5" customWidth="1"/>
    <col min="7189" max="7191" width="6.375" style="5" customWidth="1"/>
    <col min="7192" max="7423" width="8.125" style="5" customWidth="1"/>
    <col min="7424" max="7425" width="7.375" style="5"/>
    <col min="7426" max="7426" width="6.875" style="5" customWidth="1"/>
    <col min="7427" max="7441" width="6.5" style="5" customWidth="1"/>
    <col min="7442" max="7443" width="6.375" style="5" customWidth="1"/>
    <col min="7444" max="7444" width="7" style="5" customWidth="1"/>
    <col min="7445" max="7447" width="6.375" style="5" customWidth="1"/>
    <col min="7448" max="7679" width="8.125" style="5" customWidth="1"/>
    <col min="7680" max="7681" width="7.375" style="5"/>
    <col min="7682" max="7682" width="6.875" style="5" customWidth="1"/>
    <col min="7683" max="7697" width="6.5" style="5" customWidth="1"/>
    <col min="7698" max="7699" width="6.375" style="5" customWidth="1"/>
    <col min="7700" max="7700" width="7" style="5" customWidth="1"/>
    <col min="7701" max="7703" width="6.375" style="5" customWidth="1"/>
    <col min="7704" max="7935" width="8.125" style="5" customWidth="1"/>
    <col min="7936" max="7937" width="7.375" style="5"/>
    <col min="7938" max="7938" width="6.875" style="5" customWidth="1"/>
    <col min="7939" max="7953" width="6.5" style="5" customWidth="1"/>
    <col min="7954" max="7955" width="6.375" style="5" customWidth="1"/>
    <col min="7956" max="7956" width="7" style="5" customWidth="1"/>
    <col min="7957" max="7959" width="6.375" style="5" customWidth="1"/>
    <col min="7960" max="8191" width="8.125" style="5" customWidth="1"/>
    <col min="8192" max="8193" width="7.375" style="5"/>
    <col min="8194" max="8194" width="6.875" style="5" customWidth="1"/>
    <col min="8195" max="8209" width="6.5" style="5" customWidth="1"/>
    <col min="8210" max="8211" width="6.375" style="5" customWidth="1"/>
    <col min="8212" max="8212" width="7" style="5" customWidth="1"/>
    <col min="8213" max="8215" width="6.375" style="5" customWidth="1"/>
    <col min="8216" max="8447" width="8.125" style="5" customWidth="1"/>
    <col min="8448" max="8449" width="7.375" style="5"/>
    <col min="8450" max="8450" width="6.875" style="5" customWidth="1"/>
    <col min="8451" max="8465" width="6.5" style="5" customWidth="1"/>
    <col min="8466" max="8467" width="6.375" style="5" customWidth="1"/>
    <col min="8468" max="8468" width="7" style="5" customWidth="1"/>
    <col min="8469" max="8471" width="6.375" style="5" customWidth="1"/>
    <col min="8472" max="8703" width="8.125" style="5" customWidth="1"/>
    <col min="8704" max="8705" width="7.375" style="5"/>
    <col min="8706" max="8706" width="6.875" style="5" customWidth="1"/>
    <col min="8707" max="8721" width="6.5" style="5" customWidth="1"/>
    <col min="8722" max="8723" width="6.375" style="5" customWidth="1"/>
    <col min="8724" max="8724" width="7" style="5" customWidth="1"/>
    <col min="8725" max="8727" width="6.375" style="5" customWidth="1"/>
    <col min="8728" max="8959" width="8.125" style="5" customWidth="1"/>
    <col min="8960" max="8961" width="7.375" style="5"/>
    <col min="8962" max="8962" width="6.875" style="5" customWidth="1"/>
    <col min="8963" max="8977" width="6.5" style="5" customWidth="1"/>
    <col min="8978" max="8979" width="6.375" style="5" customWidth="1"/>
    <col min="8980" max="8980" width="7" style="5" customWidth="1"/>
    <col min="8981" max="8983" width="6.375" style="5" customWidth="1"/>
    <col min="8984" max="9215" width="8.125" style="5" customWidth="1"/>
    <col min="9216" max="9217" width="7.375" style="5"/>
    <col min="9218" max="9218" width="6.875" style="5" customWidth="1"/>
    <col min="9219" max="9233" width="6.5" style="5" customWidth="1"/>
    <col min="9234" max="9235" width="6.375" style="5" customWidth="1"/>
    <col min="9236" max="9236" width="7" style="5" customWidth="1"/>
    <col min="9237" max="9239" width="6.375" style="5" customWidth="1"/>
    <col min="9240" max="9471" width="8.125" style="5" customWidth="1"/>
    <col min="9472" max="9473" width="7.375" style="5"/>
    <col min="9474" max="9474" width="6.875" style="5" customWidth="1"/>
    <col min="9475" max="9489" width="6.5" style="5" customWidth="1"/>
    <col min="9490" max="9491" width="6.375" style="5" customWidth="1"/>
    <col min="9492" max="9492" width="7" style="5" customWidth="1"/>
    <col min="9493" max="9495" width="6.375" style="5" customWidth="1"/>
    <col min="9496" max="9727" width="8.125" style="5" customWidth="1"/>
    <col min="9728" max="9729" width="7.375" style="5"/>
    <col min="9730" max="9730" width="6.875" style="5" customWidth="1"/>
    <col min="9731" max="9745" width="6.5" style="5" customWidth="1"/>
    <col min="9746" max="9747" width="6.375" style="5" customWidth="1"/>
    <col min="9748" max="9748" width="7" style="5" customWidth="1"/>
    <col min="9749" max="9751" width="6.375" style="5" customWidth="1"/>
    <col min="9752" max="9983" width="8.125" style="5" customWidth="1"/>
    <col min="9984" max="9985" width="7.375" style="5"/>
    <col min="9986" max="9986" width="6.875" style="5" customWidth="1"/>
    <col min="9987" max="10001" width="6.5" style="5" customWidth="1"/>
    <col min="10002" max="10003" width="6.375" style="5" customWidth="1"/>
    <col min="10004" max="10004" width="7" style="5" customWidth="1"/>
    <col min="10005" max="10007" width="6.375" style="5" customWidth="1"/>
    <col min="10008" max="10239" width="8.125" style="5" customWidth="1"/>
    <col min="10240" max="10241" width="7.375" style="5"/>
    <col min="10242" max="10242" width="6.875" style="5" customWidth="1"/>
    <col min="10243" max="10257" width="6.5" style="5" customWidth="1"/>
    <col min="10258" max="10259" width="6.375" style="5" customWidth="1"/>
    <col min="10260" max="10260" width="7" style="5" customWidth="1"/>
    <col min="10261" max="10263" width="6.375" style="5" customWidth="1"/>
    <col min="10264" max="10495" width="8.125" style="5" customWidth="1"/>
    <col min="10496" max="10497" width="7.375" style="5"/>
    <col min="10498" max="10498" width="6.875" style="5" customWidth="1"/>
    <col min="10499" max="10513" width="6.5" style="5" customWidth="1"/>
    <col min="10514" max="10515" width="6.375" style="5" customWidth="1"/>
    <col min="10516" max="10516" width="7" style="5" customWidth="1"/>
    <col min="10517" max="10519" width="6.375" style="5" customWidth="1"/>
    <col min="10520" max="10751" width="8.125" style="5" customWidth="1"/>
    <col min="10752" max="10753" width="7.375" style="5"/>
    <col min="10754" max="10754" width="6.875" style="5" customWidth="1"/>
    <col min="10755" max="10769" width="6.5" style="5" customWidth="1"/>
    <col min="10770" max="10771" width="6.375" style="5" customWidth="1"/>
    <col min="10772" max="10772" width="7" style="5" customWidth="1"/>
    <col min="10773" max="10775" width="6.375" style="5" customWidth="1"/>
    <col min="10776" max="11007" width="8.125" style="5" customWidth="1"/>
    <col min="11008" max="11009" width="7.375" style="5"/>
    <col min="11010" max="11010" width="6.875" style="5" customWidth="1"/>
    <col min="11011" max="11025" width="6.5" style="5" customWidth="1"/>
    <col min="11026" max="11027" width="6.375" style="5" customWidth="1"/>
    <col min="11028" max="11028" width="7" style="5" customWidth="1"/>
    <col min="11029" max="11031" width="6.375" style="5" customWidth="1"/>
    <col min="11032" max="11263" width="8.125" style="5" customWidth="1"/>
    <col min="11264" max="11265" width="7.375" style="5"/>
    <col min="11266" max="11266" width="6.875" style="5" customWidth="1"/>
    <col min="11267" max="11281" width="6.5" style="5" customWidth="1"/>
    <col min="11282" max="11283" width="6.375" style="5" customWidth="1"/>
    <col min="11284" max="11284" width="7" style="5" customWidth="1"/>
    <col min="11285" max="11287" width="6.375" style="5" customWidth="1"/>
    <col min="11288" max="11519" width="8.125" style="5" customWidth="1"/>
    <col min="11520" max="11521" width="7.375" style="5"/>
    <col min="11522" max="11522" width="6.875" style="5" customWidth="1"/>
    <col min="11523" max="11537" width="6.5" style="5" customWidth="1"/>
    <col min="11538" max="11539" width="6.375" style="5" customWidth="1"/>
    <col min="11540" max="11540" width="7" style="5" customWidth="1"/>
    <col min="11541" max="11543" width="6.375" style="5" customWidth="1"/>
    <col min="11544" max="11775" width="8.125" style="5" customWidth="1"/>
    <col min="11776" max="11777" width="7.375" style="5"/>
    <col min="11778" max="11778" width="6.875" style="5" customWidth="1"/>
    <col min="11779" max="11793" width="6.5" style="5" customWidth="1"/>
    <col min="11794" max="11795" width="6.375" style="5" customWidth="1"/>
    <col min="11796" max="11796" width="7" style="5" customWidth="1"/>
    <col min="11797" max="11799" width="6.375" style="5" customWidth="1"/>
    <col min="11800" max="12031" width="8.125" style="5" customWidth="1"/>
    <col min="12032" max="12033" width="7.375" style="5"/>
    <col min="12034" max="12034" width="6.875" style="5" customWidth="1"/>
    <col min="12035" max="12049" width="6.5" style="5" customWidth="1"/>
    <col min="12050" max="12051" width="6.375" style="5" customWidth="1"/>
    <col min="12052" max="12052" width="7" style="5" customWidth="1"/>
    <col min="12053" max="12055" width="6.375" style="5" customWidth="1"/>
    <col min="12056" max="12287" width="8.125" style="5" customWidth="1"/>
    <col min="12288" max="12289" width="7.375" style="5"/>
    <col min="12290" max="12290" width="6.875" style="5" customWidth="1"/>
    <col min="12291" max="12305" width="6.5" style="5" customWidth="1"/>
    <col min="12306" max="12307" width="6.375" style="5" customWidth="1"/>
    <col min="12308" max="12308" width="7" style="5" customWidth="1"/>
    <col min="12309" max="12311" width="6.375" style="5" customWidth="1"/>
    <col min="12312" max="12543" width="8.125" style="5" customWidth="1"/>
    <col min="12544" max="12545" width="7.375" style="5"/>
    <col min="12546" max="12546" width="6.875" style="5" customWidth="1"/>
    <col min="12547" max="12561" width="6.5" style="5" customWidth="1"/>
    <col min="12562" max="12563" width="6.375" style="5" customWidth="1"/>
    <col min="12564" max="12564" width="7" style="5" customWidth="1"/>
    <col min="12565" max="12567" width="6.375" style="5" customWidth="1"/>
    <col min="12568" max="12799" width="8.125" style="5" customWidth="1"/>
    <col min="12800" max="12801" width="7.375" style="5"/>
    <col min="12802" max="12802" width="6.875" style="5" customWidth="1"/>
    <col min="12803" max="12817" width="6.5" style="5" customWidth="1"/>
    <col min="12818" max="12819" width="6.375" style="5" customWidth="1"/>
    <col min="12820" max="12820" width="7" style="5" customWidth="1"/>
    <col min="12821" max="12823" width="6.375" style="5" customWidth="1"/>
    <col min="12824" max="13055" width="8.125" style="5" customWidth="1"/>
    <col min="13056" max="13057" width="7.375" style="5"/>
    <col min="13058" max="13058" width="6.875" style="5" customWidth="1"/>
    <col min="13059" max="13073" width="6.5" style="5" customWidth="1"/>
    <col min="13074" max="13075" width="6.375" style="5" customWidth="1"/>
    <col min="13076" max="13076" width="7" style="5" customWidth="1"/>
    <col min="13077" max="13079" width="6.375" style="5" customWidth="1"/>
    <col min="13080" max="13311" width="8.125" style="5" customWidth="1"/>
    <col min="13312" max="13313" width="7.375" style="5"/>
    <col min="13314" max="13314" width="6.875" style="5" customWidth="1"/>
    <col min="13315" max="13329" width="6.5" style="5" customWidth="1"/>
    <col min="13330" max="13331" width="6.375" style="5" customWidth="1"/>
    <col min="13332" max="13332" width="7" style="5" customWidth="1"/>
    <col min="13333" max="13335" width="6.375" style="5" customWidth="1"/>
    <col min="13336" max="13567" width="8.125" style="5" customWidth="1"/>
    <col min="13568" max="13569" width="7.375" style="5"/>
    <col min="13570" max="13570" width="6.875" style="5" customWidth="1"/>
    <col min="13571" max="13585" width="6.5" style="5" customWidth="1"/>
    <col min="13586" max="13587" width="6.375" style="5" customWidth="1"/>
    <col min="13588" max="13588" width="7" style="5" customWidth="1"/>
    <col min="13589" max="13591" width="6.375" style="5" customWidth="1"/>
    <col min="13592" max="13823" width="8.125" style="5" customWidth="1"/>
    <col min="13824" max="13825" width="7.375" style="5"/>
    <col min="13826" max="13826" width="6.875" style="5" customWidth="1"/>
    <col min="13827" max="13841" width="6.5" style="5" customWidth="1"/>
    <col min="13842" max="13843" width="6.375" style="5" customWidth="1"/>
    <col min="13844" max="13844" width="7" style="5" customWidth="1"/>
    <col min="13845" max="13847" width="6.375" style="5" customWidth="1"/>
    <col min="13848" max="14079" width="8.125" style="5" customWidth="1"/>
    <col min="14080" max="14081" width="7.375" style="5"/>
    <col min="14082" max="14082" width="6.875" style="5" customWidth="1"/>
    <col min="14083" max="14097" width="6.5" style="5" customWidth="1"/>
    <col min="14098" max="14099" width="6.375" style="5" customWidth="1"/>
    <col min="14100" max="14100" width="7" style="5" customWidth="1"/>
    <col min="14101" max="14103" width="6.375" style="5" customWidth="1"/>
    <col min="14104" max="14335" width="8.125" style="5" customWidth="1"/>
    <col min="14336" max="14337" width="7.375" style="5"/>
    <col min="14338" max="14338" width="6.875" style="5" customWidth="1"/>
    <col min="14339" max="14353" width="6.5" style="5" customWidth="1"/>
    <col min="14354" max="14355" width="6.375" style="5" customWidth="1"/>
    <col min="14356" max="14356" width="7" style="5" customWidth="1"/>
    <col min="14357" max="14359" width="6.375" style="5" customWidth="1"/>
    <col min="14360" max="14591" width="8.125" style="5" customWidth="1"/>
    <col min="14592" max="14593" width="7.375" style="5"/>
    <col min="14594" max="14594" width="6.875" style="5" customWidth="1"/>
    <col min="14595" max="14609" width="6.5" style="5" customWidth="1"/>
    <col min="14610" max="14611" width="6.375" style="5" customWidth="1"/>
    <col min="14612" max="14612" width="7" style="5" customWidth="1"/>
    <col min="14613" max="14615" width="6.375" style="5" customWidth="1"/>
    <col min="14616" max="14847" width="8.125" style="5" customWidth="1"/>
    <col min="14848" max="14849" width="7.375" style="5"/>
    <col min="14850" max="14850" width="6.875" style="5" customWidth="1"/>
    <col min="14851" max="14865" width="6.5" style="5" customWidth="1"/>
    <col min="14866" max="14867" width="6.375" style="5" customWidth="1"/>
    <col min="14868" max="14868" width="7" style="5" customWidth="1"/>
    <col min="14869" max="14871" width="6.375" style="5" customWidth="1"/>
    <col min="14872" max="15103" width="8.125" style="5" customWidth="1"/>
    <col min="15104" max="15105" width="7.375" style="5"/>
    <col min="15106" max="15106" width="6.875" style="5" customWidth="1"/>
    <col min="15107" max="15121" width="6.5" style="5" customWidth="1"/>
    <col min="15122" max="15123" width="6.375" style="5" customWidth="1"/>
    <col min="15124" max="15124" width="7" style="5" customWidth="1"/>
    <col min="15125" max="15127" width="6.375" style="5" customWidth="1"/>
    <col min="15128" max="15359" width="8.125" style="5" customWidth="1"/>
    <col min="15360" max="15361" width="7.375" style="5"/>
    <col min="15362" max="15362" width="6.875" style="5" customWidth="1"/>
    <col min="15363" max="15377" width="6.5" style="5" customWidth="1"/>
    <col min="15378" max="15379" width="6.375" style="5" customWidth="1"/>
    <col min="15380" max="15380" width="7" style="5" customWidth="1"/>
    <col min="15381" max="15383" width="6.375" style="5" customWidth="1"/>
    <col min="15384" max="15615" width="8.125" style="5" customWidth="1"/>
    <col min="15616" max="15617" width="7.375" style="5"/>
    <col min="15618" max="15618" width="6.875" style="5" customWidth="1"/>
    <col min="15619" max="15633" width="6.5" style="5" customWidth="1"/>
    <col min="15634" max="15635" width="6.375" style="5" customWidth="1"/>
    <col min="15636" max="15636" width="7" style="5" customWidth="1"/>
    <col min="15637" max="15639" width="6.375" style="5" customWidth="1"/>
    <col min="15640" max="15871" width="8.125" style="5" customWidth="1"/>
    <col min="15872" max="15873" width="7.375" style="5"/>
    <col min="15874" max="15874" width="6.875" style="5" customWidth="1"/>
    <col min="15875" max="15889" width="6.5" style="5" customWidth="1"/>
    <col min="15890" max="15891" width="6.375" style="5" customWidth="1"/>
    <col min="15892" max="15892" width="7" style="5" customWidth="1"/>
    <col min="15893" max="15895" width="6.375" style="5" customWidth="1"/>
    <col min="15896" max="16127" width="8.125" style="5" customWidth="1"/>
    <col min="16128" max="16129" width="7.375" style="5"/>
    <col min="16130" max="16130" width="6.875" style="5" customWidth="1"/>
    <col min="16131" max="16145" width="6.5" style="5" customWidth="1"/>
    <col min="16146" max="16147" width="6.375" style="5" customWidth="1"/>
    <col min="16148" max="16148" width="7" style="5" customWidth="1"/>
    <col min="16149" max="16151" width="6.375" style="5" customWidth="1"/>
    <col min="16152" max="16383" width="8.125" style="5" customWidth="1"/>
    <col min="16384" max="16384" width="7.375" style="5"/>
  </cols>
  <sheetData>
    <row r="1" spans="1:256" ht="15" x14ac:dyDescent="0.15">
      <c r="A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 spans="1:256" ht="15" x14ac:dyDescent="0.15">
      <c r="A2" s="1"/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 spans="1:256" x14ac:dyDescent="0.15">
      <c r="A3" s="2" t="s">
        <v>1</v>
      </c>
      <c r="C3" s="2"/>
    </row>
    <row r="4" spans="1:256" ht="36" x14ac:dyDescent="0.15">
      <c r="A4" s="7" t="s">
        <v>2</v>
      </c>
      <c r="B4" s="7" t="s">
        <v>3</v>
      </c>
      <c r="C4" s="7" t="s">
        <v>4</v>
      </c>
      <c r="D4" s="8" t="s">
        <v>5</v>
      </c>
      <c r="E4" s="7" t="str">
        <f>D4</f>
        <v>90*70 (1.8)</v>
      </c>
      <c r="F4" s="8" t="s">
        <v>6</v>
      </c>
      <c r="G4" s="7" t="str">
        <f>F4</f>
        <v>90*70 (2.0)</v>
      </c>
      <c r="H4" s="8" t="s">
        <v>7</v>
      </c>
      <c r="I4" s="7" t="str">
        <f>H4</f>
        <v>90*70 (2.3)</v>
      </c>
      <c r="J4" s="8" t="s">
        <v>8</v>
      </c>
      <c r="K4" s="7" t="str">
        <f>J4</f>
        <v>100*70(2.3)</v>
      </c>
      <c r="L4" s="8" t="s">
        <v>9</v>
      </c>
      <c r="M4" s="7" t="str">
        <f>L4</f>
        <v>100*70(2.5)</v>
      </c>
      <c r="N4" s="8" t="s">
        <v>10</v>
      </c>
      <c r="O4" s="7" t="str">
        <f>N4</f>
        <v>120*70(2.3)</v>
      </c>
      <c r="P4" s="8" t="s">
        <v>11</v>
      </c>
      <c r="Q4" s="7" t="str">
        <f>P4</f>
        <v>120*70(2.5)</v>
      </c>
      <c r="R4" s="7" t="s">
        <v>12</v>
      </c>
      <c r="S4" s="7" t="s">
        <v>13</v>
      </c>
      <c r="T4" s="7" t="s">
        <v>14</v>
      </c>
      <c r="U4" s="7" t="s">
        <v>15</v>
      </c>
      <c r="V4" s="7" t="s">
        <v>16</v>
      </c>
      <c r="W4" s="7" t="s">
        <v>17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ht="24" x14ac:dyDescent="0.15">
      <c r="A5" s="7" t="s">
        <v>18</v>
      </c>
      <c r="B5" s="9"/>
      <c r="C5" s="7"/>
      <c r="D5" s="8"/>
      <c r="E5" s="7"/>
      <c r="F5" s="8" t="s">
        <v>19</v>
      </c>
      <c r="G5" s="7" t="str">
        <f>F5</f>
        <v>88*70 (2.0)</v>
      </c>
      <c r="H5" s="8"/>
      <c r="I5" s="7"/>
      <c r="J5" s="8"/>
      <c r="K5" s="7"/>
      <c r="L5" s="8"/>
      <c r="M5" s="7"/>
      <c r="N5" s="8"/>
      <c r="O5" s="7"/>
      <c r="P5" s="8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spans="1:256" x14ac:dyDescent="0.15">
      <c r="A6" s="7" t="s">
        <v>20</v>
      </c>
      <c r="B6" s="9"/>
      <c r="C6" s="7" t="s">
        <v>21</v>
      </c>
      <c r="D6" s="8" t="s">
        <v>21</v>
      </c>
      <c r="E6" s="7" t="s">
        <v>22</v>
      </c>
      <c r="F6" s="8" t="s">
        <v>21</v>
      </c>
      <c r="G6" s="7" t="s">
        <v>22</v>
      </c>
      <c r="H6" s="8" t="s">
        <v>21</v>
      </c>
      <c r="I6" s="7" t="s">
        <v>22</v>
      </c>
      <c r="J6" s="8" t="s">
        <v>21</v>
      </c>
      <c r="K6" s="7" t="s">
        <v>22</v>
      </c>
      <c r="L6" s="8" t="s">
        <v>21</v>
      </c>
      <c r="M6" s="7" t="s">
        <v>22</v>
      </c>
      <c r="N6" s="8" t="s">
        <v>21</v>
      </c>
      <c r="O6" s="7" t="s">
        <v>22</v>
      </c>
      <c r="P6" s="8" t="s">
        <v>21</v>
      </c>
      <c r="Q6" s="7" t="s">
        <v>22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spans="1:256" ht="20.100000000000001" customHeight="1" x14ac:dyDescent="0.15">
      <c r="A7" s="10">
        <v>300</v>
      </c>
      <c r="B7" s="11">
        <v>9500</v>
      </c>
      <c r="C7" s="12">
        <v>10500</v>
      </c>
      <c r="D7" s="13">
        <v>12300</v>
      </c>
      <c r="E7" s="13">
        <v>12300</v>
      </c>
      <c r="F7" s="13">
        <v>14000</v>
      </c>
      <c r="G7" s="13">
        <v>14000</v>
      </c>
      <c r="H7" s="13">
        <v>15200</v>
      </c>
      <c r="I7" s="13">
        <v>15200</v>
      </c>
      <c r="J7" s="13">
        <f>16900*0.992647</f>
        <v>16775.7343</v>
      </c>
      <c r="K7" s="13">
        <f>16900*0.992647</f>
        <v>16775.7343</v>
      </c>
      <c r="L7" s="13">
        <f>18000*0.992647</f>
        <v>17867.646000000001</v>
      </c>
      <c r="M7" s="13">
        <f>18000*0.992647</f>
        <v>17867.646000000001</v>
      </c>
      <c r="N7" s="13">
        <f>19300*0.9831508475</f>
        <v>18974.81135675</v>
      </c>
      <c r="O7" s="13">
        <f>19300*0.9831508475</f>
        <v>18974.81135675</v>
      </c>
      <c r="P7" s="13">
        <f>20500*0.9831508475</f>
        <v>20154.592373750002</v>
      </c>
      <c r="Q7" s="13">
        <f>20500*0.9831508475</f>
        <v>20154.592373750002</v>
      </c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</row>
    <row r="8" spans="1:256" ht="20.100000000000001" customHeight="1" x14ac:dyDescent="0.15">
      <c r="A8" s="15">
        <v>900</v>
      </c>
      <c r="B8" s="16">
        <v>8800</v>
      </c>
      <c r="C8" s="17">
        <v>9800</v>
      </c>
      <c r="D8" s="18">
        <v>11500</v>
      </c>
      <c r="E8" s="14">
        <v>11500</v>
      </c>
      <c r="F8" s="18">
        <v>13100</v>
      </c>
      <c r="G8" s="14">
        <v>13100</v>
      </c>
      <c r="H8" s="18">
        <v>14300</v>
      </c>
      <c r="I8" s="14">
        <v>14300</v>
      </c>
      <c r="J8" s="18">
        <f>15800*0.992647</f>
        <v>15683.8226</v>
      </c>
      <c r="K8" s="14">
        <f>15800*0.992647</f>
        <v>15683.8226</v>
      </c>
      <c r="L8" s="18">
        <f>16900*0.992647</f>
        <v>16775.7343</v>
      </c>
      <c r="M8" s="14">
        <f>16900*0.992647</f>
        <v>16775.7343</v>
      </c>
      <c r="N8" s="18">
        <f>17900*0.9831508475</f>
        <v>17598.400170249999</v>
      </c>
      <c r="O8" s="14">
        <f>17900*0.9831508475</f>
        <v>17598.400170249999</v>
      </c>
      <c r="P8" s="18">
        <f>19100*0.9831508475</f>
        <v>18778.18118725</v>
      </c>
      <c r="Q8" s="14">
        <f>19100*0.9831508475</f>
        <v>18778.18118725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</row>
    <row r="9" spans="1:256" ht="20.100000000000001" customHeight="1" x14ac:dyDescent="0.15">
      <c r="A9" s="19">
        <v>1200</v>
      </c>
      <c r="B9" s="20">
        <v>8000</v>
      </c>
      <c r="C9" s="12">
        <v>8800</v>
      </c>
      <c r="D9" s="13">
        <v>10500</v>
      </c>
      <c r="E9" s="13">
        <v>11130</v>
      </c>
      <c r="F9" s="13">
        <v>12000</v>
      </c>
      <c r="G9" s="13">
        <v>12720</v>
      </c>
      <c r="H9" s="13">
        <v>13000</v>
      </c>
      <c r="I9" s="13">
        <v>13780</v>
      </c>
      <c r="J9" s="13">
        <f>14500*0.992647</f>
        <v>14393.3815</v>
      </c>
      <c r="K9" s="13">
        <f>15370*0.992647</f>
        <v>15256.98439</v>
      </c>
      <c r="L9" s="13">
        <f>15500*0.992647</f>
        <v>15386.028499999999</v>
      </c>
      <c r="M9" s="13">
        <f>16430*0.992647</f>
        <v>16309.190209999999</v>
      </c>
      <c r="N9" s="13">
        <f>16500*0.9831508475</f>
        <v>16221.988983750001</v>
      </c>
      <c r="O9" s="13">
        <f>17490*0.9831508475</f>
        <v>17195.308322774999</v>
      </c>
      <c r="P9" s="13">
        <f>17500*0.9831508475</f>
        <v>17205.139831250002</v>
      </c>
      <c r="Q9" s="13">
        <f>18550*0.9831508475</f>
        <v>18237.448221125</v>
      </c>
      <c r="R9" s="14">
        <v>22470</v>
      </c>
      <c r="S9" s="14">
        <v>20970</v>
      </c>
      <c r="T9" s="14">
        <v>20600</v>
      </c>
      <c r="U9" s="14">
        <v>20230</v>
      </c>
      <c r="V9" s="14">
        <v>18730</v>
      </c>
      <c r="W9" s="14">
        <v>17230</v>
      </c>
      <c r="X9" s="21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</row>
    <row r="10" spans="1:256" ht="20.100000000000001" customHeight="1" x14ac:dyDescent="0.15">
      <c r="A10" s="15">
        <v>1350</v>
      </c>
      <c r="B10" s="16">
        <v>7700</v>
      </c>
      <c r="C10" s="17">
        <v>8400</v>
      </c>
      <c r="D10" s="18">
        <v>10100</v>
      </c>
      <c r="E10" s="14">
        <v>11009</v>
      </c>
      <c r="F10" s="18">
        <v>11600</v>
      </c>
      <c r="G10" s="14">
        <v>12644</v>
      </c>
      <c r="H10" s="18">
        <v>12500</v>
      </c>
      <c r="I10" s="14">
        <v>13625</v>
      </c>
      <c r="J10" s="18">
        <f>14000*0.992647</f>
        <v>13897.057999999999</v>
      </c>
      <c r="K10" s="14">
        <f>15260*0.992647</f>
        <v>15147.79322</v>
      </c>
      <c r="L10" s="18">
        <f>14900*0.992647</f>
        <v>14790.440299999998</v>
      </c>
      <c r="M10" s="14">
        <f>16241*0.992647</f>
        <v>16121.579926999999</v>
      </c>
      <c r="N10" s="18">
        <f>15900*0.9831508475</f>
        <v>15632.098475250001</v>
      </c>
      <c r="O10" s="14">
        <f>17331*0.9831508475</f>
        <v>17038.9873380225</v>
      </c>
      <c r="P10" s="18">
        <f>16900*0.9831508475</f>
        <v>16615.249322750002</v>
      </c>
      <c r="Q10" s="14">
        <f>18421*0.9831508475</f>
        <v>18110.621761797502</v>
      </c>
      <c r="R10" s="14"/>
      <c r="S10" s="14"/>
      <c r="T10" s="14"/>
      <c r="U10" s="14"/>
      <c r="V10" s="14"/>
      <c r="W10" s="14"/>
      <c r="X10" s="21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</row>
    <row r="11" spans="1:256" ht="20.100000000000001" customHeight="1" x14ac:dyDescent="0.15">
      <c r="A11" s="19">
        <v>1500</v>
      </c>
      <c r="B11" s="20">
        <v>7400</v>
      </c>
      <c r="C11" s="12">
        <v>8100</v>
      </c>
      <c r="D11" s="13">
        <v>9700</v>
      </c>
      <c r="E11" s="13">
        <v>10864</v>
      </c>
      <c r="F11" s="13">
        <v>11200</v>
      </c>
      <c r="G11" s="13">
        <v>12544</v>
      </c>
      <c r="H11" s="13">
        <v>12000</v>
      </c>
      <c r="I11" s="13">
        <v>13440</v>
      </c>
      <c r="J11" s="13">
        <f>13500*0.992647</f>
        <v>13400.734499999999</v>
      </c>
      <c r="K11" s="13">
        <f>15120*0.992647</f>
        <v>15008.822639999999</v>
      </c>
      <c r="L11" s="13">
        <f>14400*0.992647</f>
        <v>14294.1168</v>
      </c>
      <c r="M11" s="13">
        <f>16128*0.992647</f>
        <v>16009.410816</v>
      </c>
      <c r="N11" s="13">
        <f>15300*0.9831508475</f>
        <v>15042.20796675</v>
      </c>
      <c r="O11" s="13">
        <f>17136*0.9831508475</f>
        <v>16847.272922759999</v>
      </c>
      <c r="P11" s="13">
        <f>16300*0.9831508475</f>
        <v>16025.358814250001</v>
      </c>
      <c r="Q11" s="13">
        <f>18256*0.9831508475</f>
        <v>17948.401871959999</v>
      </c>
      <c r="R11" s="14"/>
      <c r="S11" s="14"/>
      <c r="T11" s="14"/>
      <c r="U11" s="14"/>
      <c r="V11" s="14"/>
      <c r="W11" s="14"/>
      <c r="X11" s="21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</row>
    <row r="12" spans="1:256" ht="20.100000000000001" customHeight="1" x14ac:dyDescent="0.15">
      <c r="A12" s="15">
        <v>1650</v>
      </c>
      <c r="B12" s="16">
        <v>7100</v>
      </c>
      <c r="C12" s="17">
        <v>7800</v>
      </c>
      <c r="D12" s="18">
        <v>9400</v>
      </c>
      <c r="E12" s="14">
        <v>10528</v>
      </c>
      <c r="F12" s="18">
        <v>10900</v>
      </c>
      <c r="G12" s="14">
        <v>12208</v>
      </c>
      <c r="H12" s="18">
        <v>11600</v>
      </c>
      <c r="I12" s="14">
        <v>12992</v>
      </c>
      <c r="J12" s="18">
        <f>12900*0.992647</f>
        <v>12805.146299999999</v>
      </c>
      <c r="K12" s="14">
        <f>14448*0.992647</f>
        <v>14341.763856</v>
      </c>
      <c r="L12" s="18">
        <f>13800*0.992647</f>
        <v>13698.5286</v>
      </c>
      <c r="M12" s="14">
        <f>15456*0.992647</f>
        <v>15342.352031999999</v>
      </c>
      <c r="N12" s="18">
        <f>14600*0.9831508475</f>
        <v>14354.002373500001</v>
      </c>
      <c r="O12" s="22">
        <f>16352*0.9831508475</f>
        <v>16076.482658320001</v>
      </c>
      <c r="P12" s="18">
        <f>15500*0.9831508475</f>
        <v>15238.83813625</v>
      </c>
      <c r="Q12" s="14">
        <f>17360*0.9831508475</f>
        <v>17067.498712600001</v>
      </c>
      <c r="R12" s="14"/>
      <c r="S12" s="14"/>
      <c r="T12" s="14"/>
      <c r="U12" s="14"/>
      <c r="V12" s="14"/>
      <c r="W12" s="14"/>
      <c r="X12" s="21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</row>
    <row r="13" spans="1:256" ht="20.100000000000001" customHeight="1" x14ac:dyDescent="0.15">
      <c r="A13" s="19">
        <v>1800</v>
      </c>
      <c r="B13" s="20">
        <v>6800</v>
      </c>
      <c r="C13" s="12">
        <v>7500</v>
      </c>
      <c r="D13" s="13">
        <v>9000</v>
      </c>
      <c r="E13" s="13">
        <v>9990</v>
      </c>
      <c r="F13" s="23">
        <v>10400</v>
      </c>
      <c r="G13" s="13">
        <v>11544</v>
      </c>
      <c r="H13" s="13">
        <v>11100</v>
      </c>
      <c r="I13" s="13">
        <v>12321</v>
      </c>
      <c r="J13" s="13">
        <f>12200*0.992647</f>
        <v>12110.293399999999</v>
      </c>
      <c r="K13" s="13">
        <f>13542*0.992647</f>
        <v>13442.425674</v>
      </c>
      <c r="L13" s="13">
        <f>13200*0.992647</f>
        <v>13102.940399999999</v>
      </c>
      <c r="M13" s="13">
        <f>14652*0.992647</f>
        <v>14544.263843999999</v>
      </c>
      <c r="N13" s="13">
        <f>13900*0.9831508475</f>
        <v>13665.796780250001</v>
      </c>
      <c r="O13" s="13">
        <f>15429*0.9831508475</f>
        <v>15169.0344260775</v>
      </c>
      <c r="P13" s="13">
        <f>14800*0.9831508475</f>
        <v>14550.632543</v>
      </c>
      <c r="Q13" s="13">
        <f>16428*0.9831508475</f>
        <v>16151.202122730001</v>
      </c>
      <c r="R13" s="14"/>
      <c r="S13" s="14"/>
      <c r="T13" s="14"/>
      <c r="U13" s="14"/>
      <c r="V13" s="14"/>
      <c r="W13" s="14"/>
      <c r="X13" s="21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</row>
    <row r="14" spans="1:256" ht="20.100000000000001" customHeight="1" x14ac:dyDescent="0.15">
      <c r="A14" s="15">
        <v>1950</v>
      </c>
      <c r="B14" s="16">
        <v>6500</v>
      </c>
      <c r="C14" s="17">
        <v>7200</v>
      </c>
      <c r="D14" s="18">
        <v>8600</v>
      </c>
      <c r="E14" s="14">
        <v>9546</v>
      </c>
      <c r="F14" s="18">
        <v>9800</v>
      </c>
      <c r="G14" s="14">
        <v>10878</v>
      </c>
      <c r="H14" s="18">
        <v>10500</v>
      </c>
      <c r="I14" s="14">
        <v>11655</v>
      </c>
      <c r="J14" s="18">
        <f>11400*0.992647</f>
        <v>11316.175799999999</v>
      </c>
      <c r="K14" s="14">
        <f>12654*0.992647</f>
        <v>12560.955137999999</v>
      </c>
      <c r="L14" s="18">
        <f>12400*0.992647</f>
        <v>12308.8228</v>
      </c>
      <c r="M14" s="14">
        <f>13764*0.992647</f>
        <v>13662.793307999998</v>
      </c>
      <c r="N14" s="18">
        <f>13200*0.9831508475</f>
        <v>12977.591187</v>
      </c>
      <c r="O14" s="14">
        <f>14652*0.9831508475</f>
        <v>14405.126217570001</v>
      </c>
      <c r="P14" s="18">
        <f>13900*0.9831508475</f>
        <v>13665.796780250001</v>
      </c>
      <c r="Q14" s="14">
        <f>15429*0.9831508475</f>
        <v>15169.0344260775</v>
      </c>
      <c r="R14" s="14"/>
      <c r="S14" s="14"/>
      <c r="T14" s="14"/>
      <c r="U14" s="14"/>
      <c r="V14" s="14"/>
      <c r="W14" s="14"/>
      <c r="X14" s="21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</row>
    <row r="15" spans="1:256" ht="20.100000000000001" customHeight="1" x14ac:dyDescent="0.15">
      <c r="A15" s="19">
        <v>2100</v>
      </c>
      <c r="B15" s="20">
        <v>6200</v>
      </c>
      <c r="C15" s="12">
        <v>6900</v>
      </c>
      <c r="D15" s="13">
        <v>8100</v>
      </c>
      <c r="E15" s="13">
        <v>8991</v>
      </c>
      <c r="F15" s="13">
        <v>9200</v>
      </c>
      <c r="G15" s="13">
        <v>10212</v>
      </c>
      <c r="H15" s="13">
        <v>9900</v>
      </c>
      <c r="I15" s="13">
        <v>10989</v>
      </c>
      <c r="J15" s="13">
        <f>10600*0.992647</f>
        <v>10522.058199999999</v>
      </c>
      <c r="K15" s="13">
        <f>11766*0.992647</f>
        <v>11679.484601999999</v>
      </c>
      <c r="L15" s="13">
        <f>11600*0.992647</f>
        <v>11514.705199999999</v>
      </c>
      <c r="M15" s="13">
        <f>12876*0.992647</f>
        <v>12781.322772</v>
      </c>
      <c r="N15" s="13">
        <f>12400*0.9831508475</f>
        <v>12191.070509000001</v>
      </c>
      <c r="O15" s="13">
        <f>13764*0.9831508475</f>
        <v>13532.088264990001</v>
      </c>
      <c r="P15" s="13">
        <f>13100*0.9831508475</f>
        <v>12879.27610225</v>
      </c>
      <c r="Q15" s="13">
        <f>14541*0.9831508475</f>
        <v>14295.9964734975</v>
      </c>
      <c r="R15" s="14"/>
      <c r="S15" s="14"/>
      <c r="T15" s="14"/>
      <c r="U15" s="14"/>
      <c r="V15" s="14"/>
      <c r="W15" s="14"/>
      <c r="X15" s="21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</row>
    <row r="16" spans="1:256" ht="20.100000000000001" customHeight="1" x14ac:dyDescent="0.15">
      <c r="A16" s="15">
        <v>2250</v>
      </c>
      <c r="B16" s="16">
        <v>5900</v>
      </c>
      <c r="C16" s="17">
        <v>6600</v>
      </c>
      <c r="D16" s="18">
        <v>7500</v>
      </c>
      <c r="E16" s="14">
        <v>8250</v>
      </c>
      <c r="F16" s="18">
        <v>8600</v>
      </c>
      <c r="G16" s="14">
        <v>9460</v>
      </c>
      <c r="H16" s="18">
        <v>9200</v>
      </c>
      <c r="I16" s="14">
        <v>10120</v>
      </c>
      <c r="J16" s="18">
        <f>9800*0.992647</f>
        <v>9727.9405999999999</v>
      </c>
      <c r="K16" s="14">
        <f>10780*0.992647</f>
        <v>10700.73466</v>
      </c>
      <c r="L16" s="18">
        <f>10700*0.992647</f>
        <v>10621.322899999999</v>
      </c>
      <c r="M16" s="14">
        <f>11770*0.992647</f>
        <v>11683.455189999999</v>
      </c>
      <c r="N16" s="18">
        <f>11400*0.9831508475</f>
        <v>11207.9196615</v>
      </c>
      <c r="O16" s="14">
        <f>12540*0.9831508475</f>
        <v>12328.71162765</v>
      </c>
      <c r="P16" s="18">
        <f>12100*0.9831508475</f>
        <v>11896.125254750001</v>
      </c>
      <c r="Q16" s="14">
        <f>13310*0.9831508475</f>
        <v>13085.737780225001</v>
      </c>
      <c r="R16" s="14"/>
      <c r="S16" s="14"/>
      <c r="T16" s="14"/>
      <c r="U16" s="14"/>
      <c r="V16" s="14"/>
      <c r="W16" s="14"/>
      <c r="X16" s="21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</row>
    <row r="17" spans="1:256" ht="20.100000000000001" customHeight="1" x14ac:dyDescent="0.15">
      <c r="A17" s="19">
        <v>2400</v>
      </c>
      <c r="B17" s="20">
        <v>5500</v>
      </c>
      <c r="C17" s="12">
        <v>6200</v>
      </c>
      <c r="D17" s="13">
        <v>6900</v>
      </c>
      <c r="E17" s="13">
        <v>7590</v>
      </c>
      <c r="F17" s="13">
        <v>7900</v>
      </c>
      <c r="G17" s="13">
        <v>8690</v>
      </c>
      <c r="H17" s="13">
        <v>8400</v>
      </c>
      <c r="I17" s="13">
        <v>9240</v>
      </c>
      <c r="J17" s="13">
        <f>9000*0.992647</f>
        <v>8933.8230000000003</v>
      </c>
      <c r="K17" s="13">
        <f>9900*0.992647</f>
        <v>9827.2052999999996</v>
      </c>
      <c r="L17" s="13">
        <f>9800*0.992647</f>
        <v>9727.9405999999999</v>
      </c>
      <c r="M17" s="13">
        <f>10780*0.992647</f>
        <v>10700.73466</v>
      </c>
      <c r="N17" s="13">
        <f>10400*0.9831508475</f>
        <v>10224.768814000001</v>
      </c>
      <c r="O17" s="13">
        <f>11440*0.9831508475</f>
        <v>11247.245695400001</v>
      </c>
      <c r="P17" s="13">
        <f>11100*0.9831508475</f>
        <v>10912.97440725</v>
      </c>
      <c r="Q17" s="13">
        <f>12210*0.9831508475</f>
        <v>12004.271847975</v>
      </c>
      <c r="R17" s="14"/>
      <c r="S17" s="14"/>
      <c r="T17" s="14"/>
      <c r="U17" s="14"/>
      <c r="V17" s="14"/>
      <c r="W17" s="14"/>
      <c r="X17" s="21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</row>
    <row r="18" spans="1:256" ht="20.100000000000001" customHeight="1" x14ac:dyDescent="0.15">
      <c r="A18" s="15">
        <v>2550</v>
      </c>
      <c r="B18" s="16">
        <v>5100</v>
      </c>
      <c r="C18" s="17">
        <v>5800</v>
      </c>
      <c r="D18" s="18">
        <v>6300</v>
      </c>
      <c r="E18" s="14">
        <v>6867</v>
      </c>
      <c r="F18" s="18">
        <v>7200</v>
      </c>
      <c r="G18" s="14">
        <v>7848</v>
      </c>
      <c r="H18" s="18">
        <v>7600</v>
      </c>
      <c r="I18" s="14">
        <v>8284</v>
      </c>
      <c r="J18" s="18">
        <f>8100*0.992647</f>
        <v>8040.4406999999992</v>
      </c>
      <c r="K18" s="14">
        <f>8829*0.992647</f>
        <v>8764.0803629999991</v>
      </c>
      <c r="L18" s="18">
        <f>8900*0.992647</f>
        <v>8834.5582999999988</v>
      </c>
      <c r="M18" s="14">
        <f>9701*0.992647</f>
        <v>9629.6685469999993</v>
      </c>
      <c r="N18" s="18">
        <f>9400*0.9831508475</f>
        <v>9241.6179665</v>
      </c>
      <c r="O18" s="14">
        <f>10246*0.9831508475</f>
        <v>10073.363583485001</v>
      </c>
      <c r="P18" s="18">
        <f>10100*0.9831508475</f>
        <v>9929.8235597500006</v>
      </c>
      <c r="Q18" s="14">
        <f>11009*0.9831508475</f>
        <v>10823.507680127501</v>
      </c>
      <c r="R18" s="14"/>
      <c r="S18" s="14"/>
      <c r="T18" s="14"/>
      <c r="U18" s="14"/>
      <c r="V18" s="14"/>
      <c r="W18" s="14"/>
      <c r="X18" s="21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</row>
    <row r="19" spans="1:256" ht="18.399999999999999" customHeight="1" x14ac:dyDescent="0.15"/>
    <row r="20" spans="1:256" ht="15" x14ac:dyDescent="0.15">
      <c r="A20" s="1" t="s">
        <v>23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</row>
    <row r="21" spans="1:256" ht="15" x14ac:dyDescent="0.15">
      <c r="A21" s="1"/>
      <c r="C21" s="6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 x14ac:dyDescent="0.15">
      <c r="A22" s="2" t="s">
        <v>1</v>
      </c>
      <c r="C22" s="2"/>
    </row>
    <row r="23" spans="1:256" ht="36" x14ac:dyDescent="0.15">
      <c r="A23" s="7" t="s">
        <v>2</v>
      </c>
      <c r="B23" s="7" t="s">
        <v>3</v>
      </c>
      <c r="C23" s="7" t="s">
        <v>4</v>
      </c>
      <c r="D23" s="26" t="s">
        <v>5</v>
      </c>
      <c r="E23" s="7" t="s">
        <v>5</v>
      </c>
      <c r="F23" s="26" t="s">
        <v>6</v>
      </c>
      <c r="G23" s="7" t="s">
        <v>6</v>
      </c>
      <c r="H23" s="26" t="s">
        <v>7</v>
      </c>
      <c r="I23" s="7" t="s">
        <v>7</v>
      </c>
      <c r="J23" s="26" t="s">
        <v>8</v>
      </c>
      <c r="K23" s="7" t="s">
        <v>8</v>
      </c>
      <c r="L23" s="26" t="s">
        <v>9</v>
      </c>
      <c r="M23" s="7" t="s">
        <v>9</v>
      </c>
      <c r="N23" s="26" t="s">
        <v>10</v>
      </c>
      <c r="O23" s="7" t="s">
        <v>10</v>
      </c>
      <c r="P23" s="26" t="s">
        <v>11</v>
      </c>
      <c r="Q23" s="7" t="s">
        <v>11</v>
      </c>
      <c r="R23" s="7" t="s">
        <v>24</v>
      </c>
      <c r="S23" s="7" t="s">
        <v>25</v>
      </c>
      <c r="T23" s="7" t="s">
        <v>26</v>
      </c>
      <c r="U23" s="7" t="s">
        <v>27</v>
      </c>
      <c r="V23" s="7" t="s">
        <v>24</v>
      </c>
      <c r="W23" s="7" t="s">
        <v>28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</row>
    <row r="24" spans="1:256" ht="24" x14ac:dyDescent="0.15">
      <c r="A24" s="7" t="s">
        <v>18</v>
      </c>
      <c r="B24" s="7"/>
      <c r="C24" s="7"/>
      <c r="D24" s="26"/>
      <c r="E24" s="7"/>
      <c r="F24" s="26" t="s">
        <v>19</v>
      </c>
      <c r="G24" s="7" t="str">
        <f>F24</f>
        <v>88*70 (2.0)</v>
      </c>
      <c r="H24" s="26"/>
      <c r="I24" s="7"/>
      <c r="J24" s="26"/>
      <c r="K24" s="7"/>
      <c r="L24" s="26"/>
      <c r="M24" s="7"/>
      <c r="N24" s="26"/>
      <c r="O24" s="7"/>
      <c r="P24" s="26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</row>
    <row r="25" spans="1:256" x14ac:dyDescent="0.15">
      <c r="A25" s="7" t="s">
        <v>20</v>
      </c>
      <c r="B25" s="7"/>
      <c r="C25" s="7" t="s">
        <v>21</v>
      </c>
      <c r="D25" s="26" t="s">
        <v>21</v>
      </c>
      <c r="E25" s="7" t="s">
        <v>22</v>
      </c>
      <c r="F25" s="26" t="s">
        <v>21</v>
      </c>
      <c r="G25" s="7" t="s">
        <v>22</v>
      </c>
      <c r="H25" s="26" t="s">
        <v>21</v>
      </c>
      <c r="I25" s="7" t="s">
        <v>22</v>
      </c>
      <c r="J25" s="26" t="s">
        <v>21</v>
      </c>
      <c r="K25" s="7" t="s">
        <v>22</v>
      </c>
      <c r="L25" s="26" t="s">
        <v>21</v>
      </c>
      <c r="M25" s="7" t="s">
        <v>22</v>
      </c>
      <c r="N25" s="26" t="s">
        <v>21</v>
      </c>
      <c r="O25" s="7" t="s">
        <v>22</v>
      </c>
      <c r="P25" s="26" t="s">
        <v>21</v>
      </c>
      <c r="Q25" s="7" t="s">
        <v>22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</row>
    <row r="26" spans="1:256" ht="20.100000000000001" customHeight="1" x14ac:dyDescent="0.15">
      <c r="A26" s="10">
        <v>300</v>
      </c>
      <c r="B26" s="12">
        <f t="shared" ref="B26:Q37" si="0">B7*1.25</f>
        <v>11875</v>
      </c>
      <c r="C26" s="12">
        <f t="shared" si="0"/>
        <v>13125</v>
      </c>
      <c r="D26" s="27">
        <f t="shared" si="0"/>
        <v>15375</v>
      </c>
      <c r="E26" s="12">
        <f t="shared" si="0"/>
        <v>15375</v>
      </c>
      <c r="F26" s="27">
        <f t="shared" si="0"/>
        <v>17500</v>
      </c>
      <c r="G26" s="12">
        <f t="shared" si="0"/>
        <v>17500</v>
      </c>
      <c r="H26" s="27">
        <f t="shared" si="0"/>
        <v>19000</v>
      </c>
      <c r="I26" s="12">
        <f t="shared" si="0"/>
        <v>19000</v>
      </c>
      <c r="J26" s="27">
        <f t="shared" si="0"/>
        <v>20969.667874999999</v>
      </c>
      <c r="K26" s="12">
        <f t="shared" si="0"/>
        <v>20969.667874999999</v>
      </c>
      <c r="L26" s="27">
        <f t="shared" si="0"/>
        <v>22334.557500000003</v>
      </c>
      <c r="M26" s="12">
        <f t="shared" si="0"/>
        <v>22334.557500000003</v>
      </c>
      <c r="N26" s="27">
        <f t="shared" si="0"/>
        <v>23718.5141959375</v>
      </c>
      <c r="O26" s="12">
        <f t="shared" si="0"/>
        <v>23718.5141959375</v>
      </c>
      <c r="P26" s="27">
        <f t="shared" si="0"/>
        <v>25193.240467187501</v>
      </c>
      <c r="Q26" s="12">
        <f t="shared" si="0"/>
        <v>25193.240467187501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</row>
    <row r="27" spans="1:256" ht="20.100000000000001" customHeight="1" x14ac:dyDescent="0.15">
      <c r="A27" s="15">
        <v>900</v>
      </c>
      <c r="B27" s="28">
        <f t="shared" si="0"/>
        <v>11000</v>
      </c>
      <c r="C27" s="28">
        <f t="shared" si="0"/>
        <v>12250</v>
      </c>
      <c r="D27" s="29">
        <f t="shared" si="0"/>
        <v>14375</v>
      </c>
      <c r="E27" s="28">
        <f t="shared" si="0"/>
        <v>14375</v>
      </c>
      <c r="F27" s="29">
        <f t="shared" si="0"/>
        <v>16375</v>
      </c>
      <c r="G27" s="28">
        <f t="shared" si="0"/>
        <v>16375</v>
      </c>
      <c r="H27" s="29">
        <f t="shared" si="0"/>
        <v>17875</v>
      </c>
      <c r="I27" s="28">
        <f t="shared" si="0"/>
        <v>17875</v>
      </c>
      <c r="J27" s="29">
        <f t="shared" si="0"/>
        <v>19604.778249999999</v>
      </c>
      <c r="K27" s="28">
        <f t="shared" si="0"/>
        <v>19604.778249999999</v>
      </c>
      <c r="L27" s="29">
        <f t="shared" si="0"/>
        <v>20969.667874999999</v>
      </c>
      <c r="M27" s="28">
        <f t="shared" si="0"/>
        <v>20969.667874999999</v>
      </c>
      <c r="N27" s="29">
        <f t="shared" si="0"/>
        <v>21998.000212812498</v>
      </c>
      <c r="O27" s="28">
        <f t="shared" si="0"/>
        <v>21998.000212812498</v>
      </c>
      <c r="P27" s="29">
        <f t="shared" si="0"/>
        <v>23472.726484062499</v>
      </c>
      <c r="Q27" s="28">
        <f t="shared" si="0"/>
        <v>23472.726484062499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</row>
    <row r="28" spans="1:256" ht="20.100000000000001" customHeight="1" x14ac:dyDescent="0.15">
      <c r="A28" s="19">
        <v>1200</v>
      </c>
      <c r="B28" s="12">
        <f t="shared" si="0"/>
        <v>10000</v>
      </c>
      <c r="C28" s="12">
        <f t="shared" si="0"/>
        <v>11000</v>
      </c>
      <c r="D28" s="27">
        <f t="shared" si="0"/>
        <v>13125</v>
      </c>
      <c r="E28" s="12">
        <f t="shared" si="0"/>
        <v>13912.5</v>
      </c>
      <c r="F28" s="27">
        <f t="shared" si="0"/>
        <v>15000</v>
      </c>
      <c r="G28" s="12">
        <f t="shared" si="0"/>
        <v>15900</v>
      </c>
      <c r="H28" s="27">
        <f t="shared" si="0"/>
        <v>16250</v>
      </c>
      <c r="I28" s="12">
        <f t="shared" si="0"/>
        <v>17225</v>
      </c>
      <c r="J28" s="27">
        <f t="shared" si="0"/>
        <v>17991.726875</v>
      </c>
      <c r="K28" s="12">
        <f t="shared" si="0"/>
        <v>19071.230487500001</v>
      </c>
      <c r="L28" s="27">
        <f t="shared" si="0"/>
        <v>19232.535624999997</v>
      </c>
      <c r="M28" s="12">
        <f t="shared" si="0"/>
        <v>20386.487762499997</v>
      </c>
      <c r="N28" s="27">
        <f t="shared" si="0"/>
        <v>20277.4862296875</v>
      </c>
      <c r="O28" s="12">
        <f t="shared" si="0"/>
        <v>21494.13540346875</v>
      </c>
      <c r="P28" s="27">
        <f t="shared" si="0"/>
        <v>21506.424789062505</v>
      </c>
      <c r="Q28" s="12">
        <f t="shared" si="0"/>
        <v>22796.81027640625</v>
      </c>
      <c r="R28" s="14">
        <v>22470</v>
      </c>
      <c r="S28" s="14">
        <v>20970</v>
      </c>
      <c r="T28" s="14">
        <v>20600</v>
      </c>
      <c r="U28" s="14">
        <v>20230</v>
      </c>
      <c r="V28" s="14">
        <v>18730</v>
      </c>
      <c r="W28" s="14">
        <v>17230</v>
      </c>
      <c r="X28" s="21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</row>
    <row r="29" spans="1:256" ht="20.100000000000001" customHeight="1" x14ac:dyDescent="0.15">
      <c r="A29" s="15">
        <v>1350</v>
      </c>
      <c r="B29" s="28">
        <f t="shared" si="0"/>
        <v>9625</v>
      </c>
      <c r="C29" s="28">
        <f t="shared" si="0"/>
        <v>10500</v>
      </c>
      <c r="D29" s="29">
        <f t="shared" si="0"/>
        <v>12625</v>
      </c>
      <c r="E29" s="28">
        <f t="shared" si="0"/>
        <v>13761.25</v>
      </c>
      <c r="F29" s="29">
        <f t="shared" si="0"/>
        <v>14500</v>
      </c>
      <c r="G29" s="28">
        <f t="shared" si="0"/>
        <v>15805</v>
      </c>
      <c r="H29" s="29">
        <f t="shared" si="0"/>
        <v>15625</v>
      </c>
      <c r="I29" s="28">
        <f t="shared" si="0"/>
        <v>17031.25</v>
      </c>
      <c r="J29" s="29">
        <f t="shared" si="0"/>
        <v>17371.322499999998</v>
      </c>
      <c r="K29" s="28">
        <f t="shared" si="0"/>
        <v>18934.741524999998</v>
      </c>
      <c r="L29" s="29">
        <f t="shared" si="0"/>
        <v>18488.050374999999</v>
      </c>
      <c r="M29" s="28">
        <f t="shared" si="0"/>
        <v>20151.974908749999</v>
      </c>
      <c r="N29" s="29">
        <f t="shared" si="0"/>
        <v>19540.123094062503</v>
      </c>
      <c r="O29" s="28">
        <f t="shared" si="0"/>
        <v>21298.734172528126</v>
      </c>
      <c r="P29" s="29">
        <f t="shared" si="0"/>
        <v>20769.0616534375</v>
      </c>
      <c r="Q29" s="28">
        <f t="shared" si="0"/>
        <v>22638.277202246878</v>
      </c>
      <c r="R29" s="14"/>
      <c r="S29" s="14"/>
      <c r="T29" s="14"/>
      <c r="U29" s="14"/>
      <c r="V29" s="14"/>
      <c r="W29" s="14"/>
      <c r="X29" s="21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</row>
    <row r="30" spans="1:256" ht="20.100000000000001" customHeight="1" x14ac:dyDescent="0.15">
      <c r="A30" s="19">
        <v>1500</v>
      </c>
      <c r="B30" s="12">
        <f t="shared" si="0"/>
        <v>9250</v>
      </c>
      <c r="C30" s="12">
        <f t="shared" si="0"/>
        <v>10125</v>
      </c>
      <c r="D30" s="27">
        <f t="shared" si="0"/>
        <v>12125</v>
      </c>
      <c r="E30" s="12">
        <f t="shared" si="0"/>
        <v>13580</v>
      </c>
      <c r="F30" s="27">
        <f t="shared" si="0"/>
        <v>14000</v>
      </c>
      <c r="G30" s="12">
        <f t="shared" si="0"/>
        <v>15680</v>
      </c>
      <c r="H30" s="27">
        <f t="shared" si="0"/>
        <v>15000</v>
      </c>
      <c r="I30" s="12">
        <f t="shared" si="0"/>
        <v>16800</v>
      </c>
      <c r="J30" s="27">
        <f t="shared" si="0"/>
        <v>16750.918124999997</v>
      </c>
      <c r="K30" s="12">
        <f t="shared" si="0"/>
        <v>18761.028299999998</v>
      </c>
      <c r="L30" s="27">
        <f t="shared" si="0"/>
        <v>17867.646000000001</v>
      </c>
      <c r="M30" s="12">
        <f t="shared" si="0"/>
        <v>20011.76352</v>
      </c>
      <c r="N30" s="27">
        <f t="shared" si="0"/>
        <v>18802.759958437498</v>
      </c>
      <c r="O30" s="12">
        <f t="shared" si="0"/>
        <v>21059.091153449997</v>
      </c>
      <c r="P30" s="27">
        <f t="shared" si="0"/>
        <v>20031.698517812503</v>
      </c>
      <c r="Q30" s="12">
        <f t="shared" si="0"/>
        <v>22435.502339949999</v>
      </c>
      <c r="R30" s="14"/>
      <c r="S30" s="14"/>
      <c r="T30" s="14"/>
      <c r="U30" s="14"/>
      <c r="V30" s="14"/>
      <c r="W30" s="14"/>
      <c r="X30" s="21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</row>
    <row r="31" spans="1:256" ht="20.100000000000001" customHeight="1" x14ac:dyDescent="0.15">
      <c r="A31" s="15">
        <v>1650</v>
      </c>
      <c r="B31" s="28">
        <f t="shared" si="0"/>
        <v>8875</v>
      </c>
      <c r="C31" s="28">
        <f t="shared" si="0"/>
        <v>9750</v>
      </c>
      <c r="D31" s="29">
        <f t="shared" si="0"/>
        <v>11750</v>
      </c>
      <c r="E31" s="28">
        <f t="shared" si="0"/>
        <v>13160</v>
      </c>
      <c r="F31" s="29">
        <f t="shared" si="0"/>
        <v>13625</v>
      </c>
      <c r="G31" s="28">
        <f t="shared" si="0"/>
        <v>15260</v>
      </c>
      <c r="H31" s="29">
        <f t="shared" si="0"/>
        <v>14500</v>
      </c>
      <c r="I31" s="28">
        <f t="shared" si="0"/>
        <v>16240</v>
      </c>
      <c r="J31" s="29">
        <f t="shared" si="0"/>
        <v>16006.432874999999</v>
      </c>
      <c r="K31" s="28">
        <f t="shared" si="0"/>
        <v>17927.204819999999</v>
      </c>
      <c r="L31" s="29">
        <f t="shared" si="0"/>
        <v>17123.160749999999</v>
      </c>
      <c r="M31" s="28">
        <f t="shared" si="0"/>
        <v>19177.940039999998</v>
      </c>
      <c r="N31" s="29">
        <f t="shared" si="0"/>
        <v>17942.502966875003</v>
      </c>
      <c r="O31" s="28">
        <f t="shared" si="0"/>
        <v>20095.603322900002</v>
      </c>
      <c r="P31" s="29">
        <f t="shared" si="0"/>
        <v>19048.547670312502</v>
      </c>
      <c r="Q31" s="28">
        <f t="shared" si="0"/>
        <v>21334.373390750003</v>
      </c>
      <c r="R31" s="14"/>
      <c r="S31" s="14"/>
      <c r="T31" s="14"/>
      <c r="U31" s="14"/>
      <c r="V31" s="14"/>
      <c r="W31" s="14"/>
      <c r="X31" s="21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</row>
    <row r="32" spans="1:256" ht="20.100000000000001" customHeight="1" x14ac:dyDescent="0.15">
      <c r="A32" s="19">
        <v>1800</v>
      </c>
      <c r="B32" s="12">
        <f t="shared" si="0"/>
        <v>8500</v>
      </c>
      <c r="C32" s="12">
        <f t="shared" si="0"/>
        <v>9375</v>
      </c>
      <c r="D32" s="27">
        <f t="shared" si="0"/>
        <v>11250</v>
      </c>
      <c r="E32" s="12">
        <f t="shared" si="0"/>
        <v>12487.5</v>
      </c>
      <c r="F32" s="27">
        <f t="shared" si="0"/>
        <v>13000</v>
      </c>
      <c r="G32" s="12">
        <f t="shared" si="0"/>
        <v>14430</v>
      </c>
      <c r="H32" s="27">
        <f t="shared" si="0"/>
        <v>13875</v>
      </c>
      <c r="I32" s="12">
        <f t="shared" si="0"/>
        <v>15401.25</v>
      </c>
      <c r="J32" s="27">
        <f t="shared" si="0"/>
        <v>15137.866749999997</v>
      </c>
      <c r="K32" s="12">
        <f t="shared" si="0"/>
        <v>16803.032092500001</v>
      </c>
      <c r="L32" s="27">
        <f t="shared" si="0"/>
        <v>16378.675499999999</v>
      </c>
      <c r="M32" s="12">
        <f t="shared" si="0"/>
        <v>18180.329804999998</v>
      </c>
      <c r="N32" s="27">
        <f t="shared" si="0"/>
        <v>17082.2459753125</v>
      </c>
      <c r="O32" s="12">
        <f t="shared" si="0"/>
        <v>18961.293032596874</v>
      </c>
      <c r="P32" s="27">
        <f t="shared" si="0"/>
        <v>18188.29067875</v>
      </c>
      <c r="Q32" s="12">
        <f t="shared" si="0"/>
        <v>20189.002653412503</v>
      </c>
      <c r="R32" s="14"/>
      <c r="S32" s="14"/>
      <c r="T32" s="14"/>
      <c r="U32" s="14"/>
      <c r="V32" s="14"/>
      <c r="W32" s="14"/>
      <c r="X32" s="21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</row>
    <row r="33" spans="1:256" ht="20.100000000000001" customHeight="1" x14ac:dyDescent="0.15">
      <c r="A33" s="15">
        <v>1950</v>
      </c>
      <c r="B33" s="28">
        <f t="shared" si="0"/>
        <v>8125</v>
      </c>
      <c r="C33" s="28">
        <f t="shared" si="0"/>
        <v>9000</v>
      </c>
      <c r="D33" s="29">
        <f t="shared" si="0"/>
        <v>10750</v>
      </c>
      <c r="E33" s="28">
        <f t="shared" si="0"/>
        <v>11932.5</v>
      </c>
      <c r="F33" s="29">
        <f t="shared" si="0"/>
        <v>12250</v>
      </c>
      <c r="G33" s="28">
        <f t="shared" si="0"/>
        <v>13597.5</v>
      </c>
      <c r="H33" s="29">
        <f t="shared" si="0"/>
        <v>13125</v>
      </c>
      <c r="I33" s="28">
        <f t="shared" si="0"/>
        <v>14568.75</v>
      </c>
      <c r="J33" s="29">
        <f t="shared" si="0"/>
        <v>14145.219749999998</v>
      </c>
      <c r="K33" s="28">
        <f t="shared" si="0"/>
        <v>15701.193922499999</v>
      </c>
      <c r="L33" s="29">
        <f t="shared" si="0"/>
        <v>15386.0285</v>
      </c>
      <c r="M33" s="28">
        <f t="shared" si="0"/>
        <v>17078.491634999998</v>
      </c>
      <c r="N33" s="29">
        <f t="shared" si="0"/>
        <v>16221.98898375</v>
      </c>
      <c r="O33" s="28">
        <f t="shared" si="0"/>
        <v>18006.407771962502</v>
      </c>
      <c r="P33" s="29">
        <f t="shared" si="0"/>
        <v>17082.2459753125</v>
      </c>
      <c r="Q33" s="28">
        <f t="shared" si="0"/>
        <v>18961.293032596874</v>
      </c>
      <c r="R33" s="14"/>
      <c r="S33" s="14"/>
      <c r="T33" s="14"/>
      <c r="U33" s="14"/>
      <c r="V33" s="14"/>
      <c r="W33" s="14"/>
      <c r="X33" s="21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</row>
    <row r="34" spans="1:256" ht="20.100000000000001" customHeight="1" x14ac:dyDescent="0.15">
      <c r="A34" s="19">
        <v>2100</v>
      </c>
      <c r="B34" s="12">
        <f t="shared" si="0"/>
        <v>7750</v>
      </c>
      <c r="C34" s="12">
        <f t="shared" si="0"/>
        <v>8625</v>
      </c>
      <c r="D34" s="27">
        <f t="shared" si="0"/>
        <v>10125</v>
      </c>
      <c r="E34" s="12">
        <f t="shared" si="0"/>
        <v>11238.75</v>
      </c>
      <c r="F34" s="27">
        <f t="shared" si="0"/>
        <v>11500</v>
      </c>
      <c r="G34" s="12">
        <f t="shared" si="0"/>
        <v>12765</v>
      </c>
      <c r="H34" s="27">
        <f t="shared" si="0"/>
        <v>12375</v>
      </c>
      <c r="I34" s="12">
        <f t="shared" si="0"/>
        <v>13736.25</v>
      </c>
      <c r="J34" s="27">
        <f t="shared" si="0"/>
        <v>13152.572749999999</v>
      </c>
      <c r="K34" s="12">
        <f t="shared" si="0"/>
        <v>14599.355752499998</v>
      </c>
      <c r="L34" s="27">
        <f t="shared" si="0"/>
        <v>14393.381499999998</v>
      </c>
      <c r="M34" s="12">
        <f t="shared" si="0"/>
        <v>15976.653464999999</v>
      </c>
      <c r="N34" s="27">
        <f t="shared" si="0"/>
        <v>15238.83813625</v>
      </c>
      <c r="O34" s="12">
        <f t="shared" si="0"/>
        <v>16915.110331237502</v>
      </c>
      <c r="P34" s="27">
        <f t="shared" si="0"/>
        <v>16099.095127812499</v>
      </c>
      <c r="Q34" s="12">
        <f t="shared" si="0"/>
        <v>17869.995591871877</v>
      </c>
      <c r="R34" s="14"/>
      <c r="S34" s="14"/>
      <c r="T34" s="14"/>
      <c r="U34" s="14"/>
      <c r="V34" s="14"/>
      <c r="W34" s="14"/>
      <c r="X34" s="21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</row>
    <row r="35" spans="1:256" ht="20.100000000000001" customHeight="1" x14ac:dyDescent="0.15">
      <c r="A35" s="15">
        <v>2250</v>
      </c>
      <c r="B35" s="28">
        <f t="shared" si="0"/>
        <v>7375</v>
      </c>
      <c r="C35" s="28">
        <f t="shared" si="0"/>
        <v>8250</v>
      </c>
      <c r="D35" s="29">
        <f t="shared" si="0"/>
        <v>9375</v>
      </c>
      <c r="E35" s="28">
        <f t="shared" si="0"/>
        <v>10312.5</v>
      </c>
      <c r="F35" s="29">
        <f t="shared" si="0"/>
        <v>10750</v>
      </c>
      <c r="G35" s="28">
        <f t="shared" si="0"/>
        <v>11825</v>
      </c>
      <c r="H35" s="29">
        <f t="shared" si="0"/>
        <v>11500</v>
      </c>
      <c r="I35" s="28">
        <f t="shared" si="0"/>
        <v>12650</v>
      </c>
      <c r="J35" s="29">
        <f t="shared" si="0"/>
        <v>12159.92575</v>
      </c>
      <c r="K35" s="28">
        <f t="shared" si="0"/>
        <v>13375.918325000001</v>
      </c>
      <c r="L35" s="29">
        <f t="shared" si="0"/>
        <v>13276.653624999999</v>
      </c>
      <c r="M35" s="28">
        <f t="shared" si="0"/>
        <v>14604.318987499999</v>
      </c>
      <c r="N35" s="29">
        <f t="shared" si="0"/>
        <v>14009.899576874999</v>
      </c>
      <c r="O35" s="28">
        <f t="shared" si="0"/>
        <v>15410.889534562501</v>
      </c>
      <c r="P35" s="29">
        <f t="shared" si="0"/>
        <v>14870.156568437502</v>
      </c>
      <c r="Q35" s="28">
        <f t="shared" si="0"/>
        <v>16357.172225281251</v>
      </c>
      <c r="R35" s="14"/>
      <c r="S35" s="14"/>
      <c r="T35" s="14"/>
      <c r="U35" s="14"/>
      <c r="V35" s="14"/>
      <c r="W35" s="14"/>
      <c r="X35" s="21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  <c r="HQ35" s="14"/>
      <c r="HR35" s="14"/>
      <c r="HS35" s="14"/>
      <c r="HT35" s="14"/>
      <c r="HU35" s="14"/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/>
      <c r="IJ35" s="14"/>
      <c r="IK35" s="14"/>
      <c r="IL35" s="14"/>
      <c r="IM35" s="14"/>
      <c r="IN35" s="14"/>
      <c r="IO35" s="14"/>
      <c r="IP35" s="14"/>
      <c r="IQ35" s="14"/>
      <c r="IR35" s="14"/>
      <c r="IS35" s="14"/>
      <c r="IT35" s="14"/>
      <c r="IU35" s="14"/>
      <c r="IV35" s="14"/>
    </row>
    <row r="36" spans="1:256" ht="20.100000000000001" customHeight="1" x14ac:dyDescent="0.15">
      <c r="A36" s="19">
        <v>2400</v>
      </c>
      <c r="B36" s="12">
        <f t="shared" si="0"/>
        <v>6875</v>
      </c>
      <c r="C36" s="12">
        <f t="shared" si="0"/>
        <v>7750</v>
      </c>
      <c r="D36" s="27">
        <f t="shared" si="0"/>
        <v>8625</v>
      </c>
      <c r="E36" s="12">
        <f t="shared" si="0"/>
        <v>9487.5</v>
      </c>
      <c r="F36" s="27">
        <f t="shared" si="0"/>
        <v>9875</v>
      </c>
      <c r="G36" s="12">
        <f t="shared" si="0"/>
        <v>10862.5</v>
      </c>
      <c r="H36" s="27">
        <f t="shared" si="0"/>
        <v>10500</v>
      </c>
      <c r="I36" s="12">
        <f t="shared" si="0"/>
        <v>11550</v>
      </c>
      <c r="J36" s="27">
        <f t="shared" si="0"/>
        <v>11167.278750000001</v>
      </c>
      <c r="K36" s="12">
        <f t="shared" si="0"/>
        <v>12284.006625</v>
      </c>
      <c r="L36" s="27">
        <f t="shared" si="0"/>
        <v>12159.92575</v>
      </c>
      <c r="M36" s="12">
        <f t="shared" si="0"/>
        <v>13375.918325000001</v>
      </c>
      <c r="N36" s="27">
        <f t="shared" si="0"/>
        <v>12780.961017500002</v>
      </c>
      <c r="O36" s="12">
        <f t="shared" si="0"/>
        <v>14059.057119250001</v>
      </c>
      <c r="P36" s="27">
        <f t="shared" si="0"/>
        <v>13641.218009062501</v>
      </c>
      <c r="Q36" s="12">
        <f t="shared" si="0"/>
        <v>15005.339809968751</v>
      </c>
      <c r="R36" s="14"/>
      <c r="S36" s="14"/>
      <c r="T36" s="14"/>
      <c r="U36" s="14"/>
      <c r="V36" s="14"/>
      <c r="W36" s="14"/>
      <c r="X36" s="21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</row>
    <row r="37" spans="1:256" ht="20.100000000000001" customHeight="1" x14ac:dyDescent="0.15">
      <c r="A37" s="15">
        <v>2550</v>
      </c>
      <c r="B37" s="28">
        <f t="shared" si="0"/>
        <v>6375</v>
      </c>
      <c r="C37" s="28">
        <f t="shared" si="0"/>
        <v>7250</v>
      </c>
      <c r="D37" s="29">
        <f t="shared" si="0"/>
        <v>7875</v>
      </c>
      <c r="E37" s="28">
        <f t="shared" si="0"/>
        <v>8583.75</v>
      </c>
      <c r="F37" s="29">
        <f t="shared" si="0"/>
        <v>9000</v>
      </c>
      <c r="G37" s="28">
        <f t="shared" si="0"/>
        <v>9810</v>
      </c>
      <c r="H37" s="29">
        <f t="shared" si="0"/>
        <v>9500</v>
      </c>
      <c r="I37" s="28">
        <f t="shared" si="0"/>
        <v>10355</v>
      </c>
      <c r="J37" s="29">
        <f t="shared" si="0"/>
        <v>10050.550874999999</v>
      </c>
      <c r="K37" s="28">
        <f t="shared" si="0"/>
        <v>10955.100453749999</v>
      </c>
      <c r="L37" s="29">
        <f t="shared" si="0"/>
        <v>11043.197874999998</v>
      </c>
      <c r="M37" s="28">
        <f t="shared" si="0"/>
        <v>12037.08568375</v>
      </c>
      <c r="N37" s="29">
        <f t="shared" si="0"/>
        <v>11552.022458125</v>
      </c>
      <c r="O37" s="28">
        <f t="shared" si="0"/>
        <v>12591.704479356251</v>
      </c>
      <c r="P37" s="29">
        <f t="shared" si="0"/>
        <v>12412.279449687501</v>
      </c>
      <c r="Q37" s="28">
        <f t="shared" si="0"/>
        <v>13529.384600159376</v>
      </c>
      <c r="R37" s="14"/>
      <c r="S37" s="14"/>
      <c r="T37" s="14"/>
      <c r="U37" s="14"/>
      <c r="V37" s="14"/>
      <c r="W37" s="14"/>
      <c r="X37" s="21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</row>
    <row r="38" spans="1:256" ht="20.100000000000001" customHeight="1" x14ac:dyDescent="0.15"/>
  </sheetData>
  <phoneticPr fontId="3" type="noConversion"/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柱片新表 </vt:lpstr>
      <vt:lpstr>'柱片新表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佘</dc:creator>
  <cp:lastModifiedBy>峰 佘</cp:lastModifiedBy>
  <dcterms:created xsi:type="dcterms:W3CDTF">2026-05-13T04:16:29Z</dcterms:created>
  <dcterms:modified xsi:type="dcterms:W3CDTF">2026-05-13T04:16:48Z</dcterms:modified>
</cp:coreProperties>
</file>